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 &amp; Contas Preencher" sheetId="1" r:id="rId4"/>
    <sheet state="visible" name="Dados Iniciais Preencher" sheetId="2" r:id="rId5"/>
    <sheet state="visible" name="Valores Ref. Verão " sheetId="3" r:id="rId6"/>
    <sheet state="visible" name="Feedback" sheetId="4" r:id="rId7"/>
    <sheet state="visible" name="Contactos" sheetId="5" r:id="rId8"/>
    <sheet state="hidden" name="Valores Ref. Inverno" sheetId="6" r:id="rId9"/>
    <sheet state="visible" name="Apoio" sheetId="7" r:id="rId10"/>
  </sheets>
  <definedNames>
    <definedName hidden="1" localSheetId="4" name="_xlnm._FilterDatabase">Contactos!$A$1:$C$34</definedName>
  </definedNames>
  <calcPr/>
  <extLst>
    <ext uri="GoogleSheetsCustomDataVersion2">
      <go:sheetsCustomData xmlns:go="http://customooxmlschemas.google.com/" r:id="rId11" roundtripDataChecksum="j8fmVv1dp20OGrzrQc8f5AI9EhZjmHEnV+iuG+hPZJ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======
ID#AAABbzs603o
    (2025-01-16 21:26:09)
Preencher com uma descrição tua (e.g., gasolinas carro Inês; Talho dia 16/09...)</t>
      </text>
    </comment>
    <comment authorId="0" ref="F11">
      <text>
        <t xml:space="preserve">======
ID#AAABbzs603s
    (2025-01-16 21:26:09)
Isto é um exemplo, escolham outro código. A descrição preenche automaticamente.</t>
      </text>
    </comment>
  </commentList>
  <extLst>
    <ext uri="GoogleSheetsCustomDataVersion2">
      <go:sheetsCustomData xmlns:go="http://customooxmlschemas.google.com/" r:id="rId1" roundtripDataSignature="AMtx7mj60dmfTTT7NUVfhuH+W43s9JMWcQ=="/>
    </ext>
  </extLst>
</comments>
</file>

<file path=xl/sharedStrings.xml><?xml version="1.0" encoding="utf-8"?>
<sst xmlns="http://schemas.openxmlformats.org/spreadsheetml/2006/main" count="491" uniqueCount="247">
  <si>
    <t>Disponível</t>
  </si>
  <si>
    <t>Total Receita</t>
  </si>
  <si>
    <t>Gasto</t>
  </si>
  <si>
    <t>REGRAS</t>
  </si>
  <si>
    <t>1. Preencher esta folha. Onde encontrares 'Inf. Obrigatória', tens de preencher obrigatoriamente.
Se tiveres alguma dúvida podes ligar-nos (Rita Cassiano - 965 083 885  | Pedro Batalha - 927 691 709)</t>
  </si>
  <si>
    <t xml:space="preserve">2. No final desta tabela podes consultar um quadro com os vários códigos. Todas as rúbricas têm de ter um código associado. </t>
  </si>
  <si>
    <t>3. Em cada linha da coluna 'Código', encontras uma seta. Se clicares nessa seta, encontras uma lista dos códigos. Clica no código que se aplica à receita / gasto.</t>
  </si>
  <si>
    <t>4. A descrição do código preenche automaticamente. Não tens de escrever nada.</t>
  </si>
  <si>
    <t>Seleccionar Cod.</t>
  </si>
  <si>
    <t>Inf. Obrigatória</t>
  </si>
  <si>
    <t>Preenchimento Automático</t>
  </si>
  <si>
    <t>Data</t>
  </si>
  <si>
    <t>Nº
recibo</t>
  </si>
  <si>
    <t>Receitas</t>
  </si>
  <si>
    <t>Despesas</t>
  </si>
  <si>
    <t>Descrição</t>
  </si>
  <si>
    <t>Código</t>
  </si>
  <si>
    <t>Descrição Cod.</t>
  </si>
  <si>
    <t>-</t>
  </si>
  <si>
    <t>Orçamento de Campo</t>
  </si>
  <si>
    <r>
      <rPr>
        <rFont val="Calibri"/>
        <color rgb="FFFF0000"/>
        <sz val="10.0"/>
      </rPr>
      <t xml:space="preserve">Material FDS Campo - exemplo </t>
    </r>
    <r>
      <rPr>
        <rFont val="Calibri"/>
        <b/>
        <color rgb="FFFF0000"/>
        <sz val="10.0"/>
      </rPr>
      <t>apagar</t>
    </r>
  </si>
  <si>
    <t>1.1</t>
  </si>
  <si>
    <t>Legenda</t>
  </si>
  <si>
    <t>Campo</t>
  </si>
  <si>
    <t>Deslocações (FDS Preparação)</t>
  </si>
  <si>
    <t>Alimentação (FDS Preparação)</t>
  </si>
  <si>
    <t>1.2</t>
  </si>
  <si>
    <t>Correio (Divulgação Campo)</t>
  </si>
  <si>
    <t>2.1</t>
  </si>
  <si>
    <t>Telemóveis (Divulgação Campo)</t>
  </si>
  <si>
    <t>2.2</t>
  </si>
  <si>
    <t>Compras Gerais</t>
  </si>
  <si>
    <t>3.1.1</t>
  </si>
  <si>
    <t>Talho</t>
  </si>
  <si>
    <t>3.1.2</t>
  </si>
  <si>
    <t>Pão</t>
  </si>
  <si>
    <t>3.1.3</t>
  </si>
  <si>
    <t>Frutas &amp; Legumes</t>
  </si>
  <si>
    <t>3.1.4</t>
  </si>
  <si>
    <t>Diversos</t>
  </si>
  <si>
    <t>3.1.5</t>
  </si>
  <si>
    <t>Gastos com Participantes</t>
  </si>
  <si>
    <t>3.2.1</t>
  </si>
  <si>
    <t>Gastos Master</t>
  </si>
  <si>
    <t>3.2.2</t>
  </si>
  <si>
    <t>Gastos Kangoo</t>
  </si>
  <si>
    <t>3.2.3</t>
  </si>
  <si>
    <t>Transporte Jesuita</t>
  </si>
  <si>
    <t>3.2.4</t>
  </si>
  <si>
    <t>Gás (Botijas &amp; Petromax &amp; Camisas)</t>
  </si>
  <si>
    <t>3.3.1</t>
  </si>
  <si>
    <t>Papelaria, Chineses, Material para Jogos, Sisal</t>
  </si>
  <si>
    <t>3.3.2</t>
  </si>
  <si>
    <t>Deslocações</t>
  </si>
  <si>
    <t>3.4.1</t>
  </si>
  <si>
    <t>Telemóveis</t>
  </si>
  <si>
    <t>3.4.2</t>
  </si>
  <si>
    <t>Farmácia</t>
  </si>
  <si>
    <t>3.5</t>
  </si>
  <si>
    <t>Outros</t>
  </si>
  <si>
    <t>3.6</t>
  </si>
  <si>
    <t>Registos Criminais</t>
  </si>
  <si>
    <t>Rúbricas</t>
  </si>
  <si>
    <t>Campo:</t>
  </si>
  <si>
    <t>Data:</t>
  </si>
  <si>
    <t>Local:</t>
  </si>
  <si>
    <t>Direção</t>
  </si>
  <si>
    <t>Director/a</t>
  </si>
  <si>
    <t>Adjunto/a</t>
  </si>
  <si>
    <t>Mamã</t>
  </si>
  <si>
    <t>Valores de Referência</t>
  </si>
  <si>
    <t>Aranhiços a Camaleões</t>
  </si>
  <si>
    <t>Saldo Inicial</t>
  </si>
  <si>
    <t>1. Até ao Campo</t>
  </si>
  <si>
    <t>1. Fim de Semana de Preparação</t>
  </si>
  <si>
    <t>2. Divulgação do Campo</t>
  </si>
  <si>
    <t>3. Campo</t>
  </si>
  <si>
    <t>3.1 - Alimentação</t>
  </si>
  <si>
    <t>3.2 - Transportes</t>
  </si>
  <si>
    <t>3.3 - Material</t>
  </si>
  <si>
    <t>3.4 - Gastos Animadores</t>
  </si>
  <si>
    <t>3.5 - Farmácia</t>
  </si>
  <si>
    <t>3.6 - Outros</t>
  </si>
  <si>
    <t>3.7 - Registos Criminais</t>
  </si>
  <si>
    <t>Saldo Final</t>
  </si>
  <si>
    <t>Mosquitos</t>
  </si>
  <si>
    <t>Aranhiços</t>
  </si>
  <si>
    <t xml:space="preserve">Melgas </t>
  </si>
  <si>
    <t>Tremelgas</t>
  </si>
  <si>
    <t>Camaleões</t>
  </si>
  <si>
    <t>Gastos Reais</t>
  </si>
  <si>
    <t>Cod.</t>
  </si>
  <si>
    <t>1.1 - Deslocações</t>
  </si>
  <si>
    <t>1.2 - Alimentação</t>
  </si>
  <si>
    <t>2.1 - Correio</t>
  </si>
  <si>
    <t>2.2 - Telemóveis</t>
  </si>
  <si>
    <t>3.1. Alimentação</t>
  </si>
  <si>
    <t>3.1.1 - Compras Gerais</t>
  </si>
  <si>
    <t>3.1.2 - Talho</t>
  </si>
  <si>
    <t>3.1.3 - Pão</t>
  </si>
  <si>
    <t>3.1.4 - Frutas &amp; Legumes</t>
  </si>
  <si>
    <t>3.1.5 - Diversos</t>
  </si>
  <si>
    <t>3.2. Transportes / Deslocações no Campo</t>
  </si>
  <si>
    <t>3.2.1 - Gastos com Participantes</t>
  </si>
  <si>
    <t>3.2.2 - Gastos Master</t>
  </si>
  <si>
    <t>3.2.3 - Gastos Kangoo</t>
  </si>
  <si>
    <t>3.2.4 - Transporte Jesuita</t>
  </si>
  <si>
    <t>3.3. Material</t>
  </si>
  <si>
    <t>3.3.1 - Gás (Botijas &amp; Petromax &amp; Camisas)</t>
  </si>
  <si>
    <t>3.3.2 - Papelaria, Chineses, Material para Jogos, Sisal</t>
  </si>
  <si>
    <t>3.4. Gastos Animadores</t>
  </si>
  <si>
    <t>3.4.1 - Deslocações (Carros Animadores Ida &amp; Volta)</t>
  </si>
  <si>
    <t>3.4.2 - Telemóveis</t>
  </si>
  <si>
    <t>3.5. Farmácia</t>
  </si>
  <si>
    <t>3.6. Outros</t>
  </si>
  <si>
    <t>3.7</t>
  </si>
  <si>
    <t>3.7. Registos Criminais</t>
  </si>
  <si>
    <t>Margem de Segurança</t>
  </si>
  <si>
    <t>TOTAL</t>
  </si>
  <si>
    <t>Nota: Não entram para estas contas o CamtilShop</t>
  </si>
  <si>
    <t>NOTAS GERAIS</t>
  </si>
  <si>
    <r>
      <rPr>
        <rFont val="Calibri"/>
        <color rgb="FFFFFFFF"/>
        <sz val="11.0"/>
      </rPr>
      <t xml:space="preserve">O </t>
    </r>
    <r>
      <rPr>
        <rFont val="Calibri"/>
        <b/>
        <color rgb="FFFFFFFF"/>
        <sz val="11.0"/>
      </rPr>
      <t>FEEDBACK DA TESOURARIA</t>
    </r>
    <r>
      <rPr>
        <rFont val="Calibri"/>
        <b/>
        <color rgb="FFFFFFFF"/>
        <sz val="9.0"/>
      </rPr>
      <t xml:space="preserve"> </t>
    </r>
    <r>
      <rPr>
        <rFont val="Calibri"/>
        <color rgb="FFFFFFFF"/>
        <sz val="11.0"/>
      </rPr>
      <t xml:space="preserve">no final do verão vai ter em conta as seguintes </t>
    </r>
    <r>
      <rPr>
        <rFont val="Calibri"/>
        <b/>
        <color rgb="FFFFFFFF"/>
        <sz val="11.0"/>
      </rPr>
      <t>NOTAS GERAIS:</t>
    </r>
  </si>
  <si>
    <r>
      <rPr>
        <rFont val="Calibri"/>
        <color rgb="FFFFFFFF"/>
        <sz val="11.0"/>
      </rPr>
      <t xml:space="preserve">O adjunto deve preparar os seus documentos de suporte / valores de referência para </t>
    </r>
    <r>
      <rPr>
        <rFont val="Calibri"/>
        <b/>
        <color rgb="FFFFFFFF"/>
        <sz val="11.0"/>
        <u/>
      </rPr>
      <t>começar a utilizá-los logo no fim-de-semana de campo</t>
    </r>
    <r>
      <rPr>
        <rFont val="Calibri"/>
        <b/>
        <color rgb="FFFFFFFF"/>
        <sz val="11.0"/>
      </rPr>
      <t>.</t>
    </r>
  </si>
  <si>
    <t>1.1. Fim de Semana de Preparação</t>
  </si>
  <si>
    <r>
      <rPr>
        <rFont val="Calibri"/>
        <color rgb="FF000000"/>
        <sz val="11.0"/>
      </rPr>
      <t xml:space="preserve">É muito importante todos os animadores irem ao fim-de-semana. Aqui, contamos com uma boa gestão do adjunto para </t>
    </r>
    <r>
      <rPr>
        <rFont val="Calibri"/>
        <b/>
        <i/>
        <color rgb="FF000000"/>
        <sz val="11.0"/>
        <u/>
      </rPr>
      <t>arranjar / organizar o local e boleias</t>
    </r>
    <r>
      <rPr>
        <rFont val="Calibri"/>
        <b/>
        <i/>
        <color rgb="FF000000"/>
        <sz val="11.0"/>
      </rPr>
      <t xml:space="preserve"> </t>
    </r>
    <r>
      <rPr>
        <rFont val="Calibri"/>
        <i/>
        <color rgb="FF000000"/>
        <sz val="11.0"/>
      </rPr>
      <t xml:space="preserve">( </t>
    </r>
    <r>
      <rPr>
        <rFont val="Calibri"/>
        <color rgb="FF000000"/>
        <sz val="11.0"/>
      </rPr>
      <t>i.e., tentar arranjar uma casa na zona centro (idealmente) e coordenar os carros para que tragam o mínimo possível de carros). O Loureto, em Coimbra, é sempre uma boa última alternativa, mas têm que perguntar com antecedência.</t>
    </r>
  </si>
  <si>
    <r>
      <rPr>
        <rFont val="Calibri"/>
        <color theme="1"/>
        <sz val="11.0"/>
      </rPr>
      <t xml:space="preserve">O orçamento tem em conta o </t>
    </r>
    <r>
      <rPr>
        <rFont val="Calibri"/>
        <b/>
        <color theme="1"/>
        <sz val="11.0"/>
        <u/>
      </rPr>
      <t>envio da carta de campo via CTT</t>
    </r>
    <r>
      <rPr>
        <rFont val="Calibri"/>
        <color theme="1"/>
        <sz val="11.0"/>
      </rPr>
      <t>, contudo também há a possibilidade de enviar a carta por email.</t>
    </r>
  </si>
  <si>
    <r>
      <rPr>
        <rFont val="Calibri"/>
        <color rgb="FFFFFFFF"/>
        <sz val="11.0"/>
      </rPr>
      <t xml:space="preserve">Ao iniciar o campo, </t>
    </r>
    <r>
      <rPr>
        <rFont val="Calibri"/>
        <b/>
        <color rgb="FFFFFFFF"/>
        <sz val="11.0"/>
        <u/>
      </rPr>
      <t>o adjunto deve ter as contas dos pontos 1. e 2. todas fechadas e registadas.</t>
    </r>
    <r>
      <rPr>
        <rFont val="Calibri"/>
        <color rgb="FFFFFFFF"/>
        <sz val="11.0"/>
      </rPr>
      <t xml:space="preserve"> Para uma boa gestão orçamental, o adjunto deve ter no seu cartão um montante / valor igual ou superior ao valor de referência indicado para o campo.</t>
    </r>
  </si>
  <si>
    <r>
      <rPr>
        <rFont val="Calibri"/>
        <color rgb="FF000000"/>
        <sz val="11.0"/>
      </rPr>
      <t xml:space="preserve">O valor de referência tem em conta os gastos com alimentação feitos nos últimos anos, ajustados à inflação deste ano. Esse valor é uma referência para cada escalão. No entanto, sabemos que os locais de campo não são iguais e que os custos podem variar até dentro do mesmo escalão. Portanto, </t>
    </r>
    <r>
      <rPr>
        <rFont val="Calibri"/>
        <b/>
        <color rgb="FF000000"/>
        <sz val="11.0"/>
        <u/>
      </rPr>
      <t>é muito importante que o adjunto esteja ciente das despesas da cozinha</t>
    </r>
    <r>
      <rPr>
        <rFont val="Calibri"/>
        <color rgb="FF000000"/>
        <sz val="11.0"/>
      </rPr>
      <t xml:space="preserve"> (e.g., saber quanto vai custar o pão, acompanhar as despesas do supermercado, talho, frutas e legumes...), </t>
    </r>
    <r>
      <rPr>
        <rFont val="Calibri"/>
        <b/>
        <color rgb="FF000000"/>
        <sz val="11.0"/>
        <u/>
      </rPr>
      <t>para que não seja surpreendido com o valor gasto no final do campo</t>
    </r>
    <r>
      <rPr>
        <rFont val="Calibri"/>
        <color rgb="FF000000"/>
        <sz val="11.0"/>
      </rPr>
      <t xml:space="preserve">. </t>
    </r>
    <r>
      <rPr>
        <rFont val="Calibri"/>
        <b/>
        <color rgb="FF000000"/>
        <sz val="11.0"/>
      </rPr>
      <t xml:space="preserve">Sugestão: façam um orçamento com antecedência, </t>
    </r>
    <r>
      <rPr>
        <rFont val="Calibri"/>
        <color rgb="FF000000"/>
        <sz val="11.0"/>
      </rPr>
      <t>em conjunto com a cozinha, antes de irem ao supermercado.</t>
    </r>
  </si>
  <si>
    <t>3.2. Transportes</t>
  </si>
  <si>
    <r>
      <rPr>
        <rFont val="Calibri"/>
        <color rgb="FF000000"/>
        <sz val="11.0"/>
      </rPr>
      <t xml:space="preserve">Gerir bem as saídas de campo é essencial para evitar "gastar" tempo e dinheiro desnecessários com a Kangoo. </t>
    </r>
    <r>
      <rPr>
        <rFont val="Calibri"/>
        <b/>
        <color rgb="FF000000"/>
        <sz val="11.0"/>
        <u/>
      </rPr>
      <t>É importante planear as compras e antecipar as necessidades</t>
    </r>
    <r>
      <rPr>
        <rFont val="Calibri"/>
        <color rgb="FF000000"/>
        <sz val="11.0"/>
      </rPr>
      <t xml:space="preserve"> (i.e., tanto em termos de material como de alimentação) </t>
    </r>
    <r>
      <rPr>
        <rFont val="Calibri"/>
        <b/>
        <color rgb="FF000000"/>
        <sz val="11.0"/>
        <u/>
      </rPr>
      <t>para uma boa gestão</t>
    </r>
    <r>
      <rPr>
        <rFont val="Calibri"/>
        <color rgb="FF000000"/>
        <sz val="11.0"/>
      </rPr>
      <t>. Dessa forma, a equipa pode passar mais tempo em campo.</t>
    </r>
  </si>
  <si>
    <t>O material de papelaria é da vossa conta, no entanto, é possível que tenham sobras de outros campos. Em relação ao gás, a regra é deixar sempre duas botijas de Petromax e uma de fogão cheias para cada campo.</t>
  </si>
  <si>
    <t>Aqui aconselhamos que se faça uma boa gestão de quem vai ao pré-campo e quem fica para ir com os miúdos. Normalmente, quem está mais longe do local de campo fica para levar os miúdos no comboio.</t>
  </si>
  <si>
    <r>
      <rPr>
        <rFont val="Calibri"/>
        <color rgb="FF000000"/>
        <sz val="11.0"/>
      </rPr>
      <t xml:space="preserve">Mais uma vez, lembrem-se que </t>
    </r>
    <r>
      <rPr>
        <rFont val="Calibri"/>
        <b/>
        <color rgb="FF000000"/>
        <sz val="11.0"/>
        <u/>
      </rPr>
      <t>é da responsabilidade de cada campo repor aquilo que gastou em farmácia</t>
    </r>
    <r>
      <rPr>
        <rFont val="Calibri"/>
        <color rgb="FF000000"/>
        <sz val="11.0"/>
      </rPr>
      <t xml:space="preserve">. 
</t>
    </r>
    <r>
      <rPr>
        <rFont val="Calibri"/>
        <b/>
        <color rgb="FF000000"/>
        <sz val="11.0"/>
      </rPr>
      <t>Atenção</t>
    </r>
    <r>
      <rPr>
        <rFont val="Calibri"/>
        <color rgb="FF000000"/>
        <sz val="11.0"/>
      </rPr>
      <t>: cada farmácia tem um stock inicial e deve ter uma lista com a contagem desse stock. Assim, tudo o que vocês comprarem de fora dessa lista não tem de ser reposto.</t>
    </r>
  </si>
  <si>
    <t>Esta rúbrica existe para algum gasto que vocês não saibam bem alocar.</t>
  </si>
  <si>
    <r>
      <rPr>
        <rFont val="Calibri"/>
        <b/>
        <color rgb="FFFFFFFF"/>
        <sz val="11.0"/>
        <u/>
      </rPr>
      <t>A margem de 50€ alocada a cada campo serve para "não se contar com esse dinheiro". Se excederem os plafons acima definidos esta poderá acautelar os mesmos</t>
    </r>
    <r>
      <rPr>
        <rFont val="Calibri"/>
        <color rgb="FFFFFFFF"/>
        <sz val="11.0"/>
      </rPr>
      <t>.</t>
    </r>
  </si>
  <si>
    <t>Nome completo</t>
  </si>
  <si>
    <t>Cargo</t>
  </si>
  <si>
    <t>Migalha</t>
  </si>
  <si>
    <t>Mosquitos I</t>
  </si>
  <si>
    <t>Manel Góis</t>
  </si>
  <si>
    <t>Magali</t>
  </si>
  <si>
    <t>Afonso Mestre</t>
  </si>
  <si>
    <t>Mosquitos II</t>
  </si>
  <si>
    <t>Jinho</t>
  </si>
  <si>
    <t>Rita Cassiano Santos</t>
  </si>
  <si>
    <t>Duarte Líbano Monteiro</t>
  </si>
  <si>
    <t>Aranhiços I</t>
  </si>
  <si>
    <t>Henrique Gil</t>
  </si>
  <si>
    <t>Maria Resende</t>
  </si>
  <si>
    <t>Manel Brito e Faro</t>
  </si>
  <si>
    <t>Aranhiços II</t>
  </si>
  <si>
    <t>António Toscano Rico</t>
  </si>
  <si>
    <t>Constança Cravo</t>
  </si>
  <si>
    <t>Leonor Sampaio</t>
  </si>
  <si>
    <t>Aranhiços III</t>
  </si>
  <si>
    <t>Ia Lebre</t>
  </si>
  <si>
    <t>Madalena Taborda</t>
  </si>
  <si>
    <t>Diogo Arcanjo</t>
  </si>
  <si>
    <t>Melgas I</t>
  </si>
  <si>
    <t>Vasco Líbano Monteiro</t>
  </si>
  <si>
    <t>Matilde Sant'Ana</t>
  </si>
  <si>
    <t>Teresa Bernardes</t>
  </si>
  <si>
    <t>Melgas II</t>
  </si>
  <si>
    <t>Luís Puma</t>
  </si>
  <si>
    <t>Madaló</t>
  </si>
  <si>
    <t>Inha Mascarenhas de Lemos</t>
  </si>
  <si>
    <t>Melgas III</t>
  </si>
  <si>
    <t>Kiko Soares</t>
  </si>
  <si>
    <t>Vera Assis Teixeira</t>
  </si>
  <si>
    <t>Xico Lourenço</t>
  </si>
  <si>
    <t>Tremelgas I</t>
  </si>
  <si>
    <t>Pia d'Orey</t>
  </si>
  <si>
    <t>Graça Noites</t>
  </si>
  <si>
    <t>Lourenço Mascarenhas</t>
  </si>
  <si>
    <t>Tremelgas II</t>
  </si>
  <si>
    <t>Vicente Melo</t>
  </si>
  <si>
    <t>Leonor Eça</t>
  </si>
  <si>
    <t>Carmo Batalha</t>
  </si>
  <si>
    <t>Camaleões I</t>
  </si>
  <si>
    <t>António Murta</t>
  </si>
  <si>
    <t>Sofia Mira Vaz</t>
  </si>
  <si>
    <t>Preço por Campo</t>
  </si>
  <si>
    <t>Nº de Participantes</t>
  </si>
  <si>
    <t>CIFA</t>
  </si>
  <si>
    <t>Trolhas</t>
  </si>
  <si>
    <t>Cegonhas</t>
  </si>
  <si>
    <t>Diferêncial</t>
  </si>
  <si>
    <t>3.4.1 - Deslocações</t>
  </si>
  <si>
    <t>3.5 - Farmácia/ Seguros</t>
  </si>
  <si>
    <t>3.6 - Outros/Estadia</t>
  </si>
  <si>
    <t xml:space="preserve">Saldo </t>
  </si>
  <si>
    <t>Ordem</t>
  </si>
  <si>
    <t>Escalão</t>
  </si>
  <si>
    <t>Local de Campo</t>
  </si>
  <si>
    <t>Datas dos Campos</t>
  </si>
  <si>
    <t>1ª vez animar (x)</t>
  </si>
  <si>
    <t>Tipo de Animador</t>
  </si>
  <si>
    <t>Desc. Cod.</t>
  </si>
  <si>
    <t>Códigos</t>
  </si>
  <si>
    <t>Mosquito</t>
  </si>
  <si>
    <t>30 Julho - 6 Agosto</t>
  </si>
  <si>
    <t>Sim</t>
  </si>
  <si>
    <t>Aranhiço</t>
  </si>
  <si>
    <t>19 - 26 Agosto</t>
  </si>
  <si>
    <t>Não</t>
  </si>
  <si>
    <t>FDS Campo | Deslocações FDS Campo</t>
  </si>
  <si>
    <t>Melga</t>
  </si>
  <si>
    <t xml:space="preserve">17 - 26 Julho </t>
  </si>
  <si>
    <t>FDS Campo | Alimentação</t>
  </si>
  <si>
    <t>Tremelga</t>
  </si>
  <si>
    <t>28 Julho - 6 Agosto</t>
  </si>
  <si>
    <t>Capelão</t>
  </si>
  <si>
    <t>Divulgação | Correio</t>
  </si>
  <si>
    <t>Camaleão</t>
  </si>
  <si>
    <t>2.3</t>
  </si>
  <si>
    <t>8 - 17 Agosto</t>
  </si>
  <si>
    <t>Capelinho</t>
  </si>
  <si>
    <t>Divulgação | Telemóveis</t>
  </si>
  <si>
    <t>3.1</t>
  </si>
  <si>
    <t>Tia/o</t>
  </si>
  <si>
    <t>Alimentação | Compras Gerais</t>
  </si>
  <si>
    <t>3.1.1 - Compras Grandes</t>
  </si>
  <si>
    <t>3.2</t>
  </si>
  <si>
    <t>Livre</t>
  </si>
  <si>
    <t>Alimentação | Talho</t>
  </si>
  <si>
    <t>3.3</t>
  </si>
  <si>
    <t>19 - 28 Agosto</t>
  </si>
  <si>
    <t>Equipa</t>
  </si>
  <si>
    <t>Alimentação | Pão</t>
  </si>
  <si>
    <t>4.1</t>
  </si>
  <si>
    <t>Alimentação | Frutas &amp; Legumes</t>
  </si>
  <si>
    <t>4.2</t>
  </si>
  <si>
    <t>Alimentação | Diversos</t>
  </si>
  <si>
    <t>Tremelgas III</t>
  </si>
  <si>
    <t>4.3</t>
  </si>
  <si>
    <t>--//--//--</t>
  </si>
  <si>
    <t>Transportes | Gastos com Participantes</t>
  </si>
  <si>
    <t>Transportes | Gastos Master</t>
  </si>
  <si>
    <t>Camaleões II</t>
  </si>
  <si>
    <t>Transportes | Gastos Kangoo</t>
  </si>
  <si>
    <t>27 Março - 1 Abril</t>
  </si>
  <si>
    <t>Transportes | Transporte Jesuita</t>
  </si>
  <si>
    <t>Material | Gás (Botijas &amp; Petromax &amp; Camisas)</t>
  </si>
  <si>
    <t>3 - 7 Junho</t>
  </si>
  <si>
    <t>Material | Papelaria, Chineses, Material para Jogos, Sisal</t>
  </si>
  <si>
    <t>Gast. Anim. | Deslocações Animadores</t>
  </si>
  <si>
    <t>Gast. Anim. | Telemóvel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</si>
</sst>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\ &quot;€&quot;;[Red]\-#,##0.00\ &quot;€&quot;"/>
    <numFmt numFmtId="165" formatCode="#,##0.00\ &quot;€&quot;"/>
    <numFmt numFmtId="166" formatCode="_-* #,##0.00\ &quot;€&quot;_-;\-* #,##0.00\ &quot;€&quot;_-;_-* &quot;-&quot;??\ &quot;€&quot;_-;_-@"/>
    <numFmt numFmtId="167" formatCode="dd/mm/yyyy"/>
    <numFmt numFmtId="168" formatCode="m.d"/>
    <numFmt numFmtId="169" formatCode="#,##0\ &quot;€&quot;;[Red]\-#,##0\ &quot;€&quot;"/>
    <numFmt numFmtId="170" formatCode="_-* #,##0\ &quot;€&quot;_-;\-* #,##0\ &quot;€&quot;_-;_-* &quot;-&quot;??\ &quot;€&quot;_-;_-@"/>
  </numFmts>
  <fonts count="36">
    <font>
      <sz val="10.0"/>
      <color rgb="FF000000"/>
      <name val="Calibri"/>
      <scheme val="minor"/>
    </font>
    <font>
      <b/>
      <sz val="11.0"/>
      <color rgb="FFFFFFFF"/>
      <name val="Calibri"/>
    </font>
    <font>
      <sz val="10.0"/>
      <color theme="1"/>
      <name val="Calibri"/>
    </font>
    <font>
      <sz val="26.0"/>
      <color rgb="FFFFFFFF"/>
      <name val="Calibri"/>
    </font>
    <font>
      <b/>
      <sz val="10.0"/>
      <color theme="1"/>
      <name val="Calibri"/>
    </font>
    <font>
      <b/>
      <sz val="10.0"/>
      <color rgb="FFFF0000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0.0"/>
      <color rgb="FF000000"/>
      <name val="Calibri"/>
    </font>
    <font>
      <b/>
      <color rgb="FF000000"/>
      <name val="Calibri"/>
    </font>
    <font>
      <sz val="10.0"/>
      <color theme="1"/>
      <name val="Arial"/>
    </font>
    <font>
      <b/>
      <sz val="14.0"/>
      <color rgb="FFFFFFFF"/>
      <name val="Calibri"/>
    </font>
    <font>
      <b/>
      <sz val="14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0.0"/>
      <color rgb="FFFF0000"/>
      <name val="Calibri"/>
    </font>
    <font>
      <color theme="1"/>
      <name val="Calibri"/>
    </font>
    <font>
      <color rgb="FF000000"/>
      <name val="Calibri"/>
    </font>
    <font/>
    <font>
      <sz val="11.0"/>
      <color rgb="FFFFFFFF"/>
      <name val="Calibri"/>
    </font>
    <font>
      <sz val="11.0"/>
      <color rgb="FF000000"/>
      <name val="Inconsolata"/>
    </font>
    <font>
      <b/>
      <sz val="11.0"/>
      <color theme="1"/>
      <name val="Calibri"/>
    </font>
    <font>
      <b/>
      <sz val="12.0"/>
      <color rgb="FFFFFFFF"/>
      <name val="Calibri"/>
    </font>
    <font>
      <sz val="12.0"/>
      <color rgb="FFFFFFFF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  <color rgb="FFFF0000"/>
      <name val="Calibri"/>
    </font>
    <font>
      <sz val="12.0"/>
      <color rgb="FF000000"/>
      <name val="Verdana"/>
    </font>
    <font>
      <sz val="11.0"/>
      <color theme="1"/>
      <name val="Calibri"/>
    </font>
    <font>
      <b/>
      <color theme="1"/>
      <name val="Arial"/>
    </font>
    <font>
      <color theme="1"/>
      <name val="Arial"/>
    </font>
    <font>
      <u/>
      <sz val="12.0"/>
      <color theme="1"/>
      <name val="Calibri"/>
    </font>
    <font>
      <b/>
      <sz val="10.0"/>
      <color theme="1"/>
      <name val="Arial"/>
    </font>
    <font>
      <sz val="10.0"/>
      <color rgb="FF000000"/>
      <name val="Arial"/>
    </font>
    <font>
      <b/>
      <sz val="10.0"/>
      <color rgb="FFFFFFFF"/>
      <name val="Georgia"/>
    </font>
    <font>
      <b/>
      <sz val="10.0"/>
      <color rgb="FFFFFFFF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A8D08D"/>
        <bgColor rgb="FFA8D08D"/>
      </patternFill>
    </fill>
    <fill>
      <patternFill patternType="solid">
        <fgColor rgb="FFCCCCCC"/>
        <bgColor rgb="FFCCCCCC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8EAADB"/>
        <bgColor rgb="FF8EAADB"/>
      </patternFill>
    </fill>
    <fill>
      <patternFill patternType="solid">
        <fgColor rgb="FF00B050"/>
        <bgColor rgb="FF00B050"/>
      </patternFill>
    </fill>
    <fill>
      <patternFill patternType="solid">
        <fgColor rgb="FF38761D"/>
        <bgColor rgb="FF38761D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8E7CC3"/>
        <bgColor rgb="FF8E7CC3"/>
      </patternFill>
    </fill>
  </fills>
  <borders count="35">
    <border/>
    <border>
      <left style="thin">
        <color rgb="FF5B9BD5"/>
      </left>
      <right style="thin">
        <color rgb="FF5B9BD5"/>
      </right>
      <top style="thin">
        <color rgb="FF5B9BD5"/>
      </top>
      <bottom style="medium">
        <color rgb="FF5B9BD5"/>
      </bottom>
    </border>
    <border>
      <left style="thin">
        <color rgb="FF5B9BD5"/>
      </left>
      <top style="thin">
        <color rgb="FF5B9BD5"/>
      </top>
      <bottom style="medium">
        <color rgb="FF5B9BD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</border>
    <border>
      <left style="medium">
        <color rgb="FFD9E2F3"/>
      </left>
      <right style="medium">
        <color rgb="FFD9E2F3"/>
      </right>
      <top style="medium">
        <color rgb="FFD9E2F3"/>
      </top>
      <bottom style="medium">
        <color rgb="FFD9E2F3"/>
      </bottom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5B9BD5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3" fontId="1" numFmtId="0" xfId="0" applyAlignment="1" applyBorder="1" applyFill="1" applyFont="1">
      <alignment horizontal="center" vertical="center"/>
    </xf>
    <xf borderId="2" fillId="4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center"/>
    </xf>
    <xf borderId="3" fillId="5" fontId="3" numFmtId="0" xfId="0" applyAlignment="1" applyBorder="1" applyFill="1" applyFont="1">
      <alignment horizontal="center"/>
    </xf>
    <xf borderId="0" fillId="0" fontId="4" numFmtId="164" xfId="0" applyAlignment="1" applyFont="1" applyNumberFormat="1">
      <alignment horizontal="left" vertical="center"/>
    </xf>
    <xf borderId="0" fillId="0" fontId="4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4" fillId="6" fontId="5" numFmtId="0" xfId="0" applyAlignment="1" applyBorder="1" applyFill="1" applyFont="1">
      <alignment readingOrder="0" shrinkToFit="0" vertical="center" wrapText="1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5" fillId="6" fontId="8" numFmtId="0" xfId="0" applyAlignment="1" applyBorder="1" applyFont="1">
      <alignment shrinkToFit="0" vertical="center" wrapText="1"/>
    </xf>
    <xf borderId="5" fillId="6" fontId="9" numFmtId="0" xfId="0" applyAlignment="1" applyBorder="1" applyFont="1">
      <alignment horizontal="left" shrinkToFit="0" vertical="center" wrapText="1"/>
    </xf>
    <xf borderId="6" fillId="6" fontId="8" numFmtId="0" xfId="0" applyAlignment="1" applyBorder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10" numFmtId="0" xfId="0" applyAlignment="1" applyFont="1">
      <alignment horizontal="center"/>
    </xf>
    <xf borderId="0" fillId="0" fontId="4" numFmtId="165" xfId="0" applyAlignment="1" applyFont="1" applyNumberFormat="1">
      <alignment vertical="center"/>
    </xf>
    <xf borderId="0" fillId="0" fontId="5" numFmtId="0" xfId="0" applyAlignment="1" applyFont="1">
      <alignment vertical="center"/>
    </xf>
    <xf borderId="7" fillId="4" fontId="1" numFmtId="0" xfId="0" applyAlignment="1" applyBorder="1" applyFont="1">
      <alignment vertical="center"/>
    </xf>
    <xf borderId="7" fillId="4" fontId="1" numFmtId="166" xfId="0" applyAlignment="1" applyBorder="1" applyFont="1" applyNumberFormat="1">
      <alignment horizontal="center" vertical="center"/>
    </xf>
    <xf borderId="7" fillId="7" fontId="1" numFmtId="0" xfId="0" applyAlignment="1" applyBorder="1" applyFill="1" applyFont="1">
      <alignment horizontal="center" vertical="center"/>
    </xf>
    <xf borderId="7" fillId="3" fontId="11" numFmtId="0" xfId="0" applyAlignment="1" applyBorder="1" applyFont="1">
      <alignment horizontal="left" vertical="center"/>
    </xf>
    <xf borderId="7" fillId="3" fontId="11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vertical="center"/>
    </xf>
    <xf borderId="7" fillId="3" fontId="11" numFmtId="0" xfId="0" applyAlignment="1" applyBorder="1" applyFont="1">
      <alignment horizontal="center" vertical="center"/>
    </xf>
    <xf borderId="8" fillId="3" fontId="11" numFmtId="0" xfId="0" applyAlignment="1" applyBorder="1" applyFont="1">
      <alignment horizontal="center" vertical="center"/>
    </xf>
    <xf borderId="0" fillId="0" fontId="12" numFmtId="0" xfId="0" applyAlignment="1" applyFont="1">
      <alignment vertical="center"/>
    </xf>
    <xf borderId="7" fillId="8" fontId="13" numFmtId="0" xfId="0" applyAlignment="1" applyBorder="1" applyFill="1" applyFont="1">
      <alignment horizontal="center" vertical="center"/>
    </xf>
    <xf borderId="7" fillId="8" fontId="13" numFmtId="164" xfId="0" applyAlignment="1" applyBorder="1" applyFont="1" applyNumberFormat="1">
      <alignment horizontal="right" vertical="center"/>
    </xf>
    <xf borderId="7" fillId="8" fontId="13" numFmtId="49" xfId="0" applyAlignment="1" applyBorder="1" applyFont="1" applyNumberFormat="1">
      <alignment horizontal="left" vertical="center"/>
    </xf>
    <xf borderId="7" fillId="8" fontId="14" numFmtId="49" xfId="0" applyAlignment="1" applyBorder="1" applyFont="1" applyNumberFormat="1">
      <alignment horizontal="center" vertical="center"/>
    </xf>
    <xf borderId="7" fillId="8" fontId="14" numFmtId="0" xfId="0" applyAlignment="1" applyBorder="1" applyFont="1">
      <alignment horizontal="left" vertical="center"/>
    </xf>
    <xf borderId="0" fillId="6" fontId="2" numFmtId="167" xfId="0" applyAlignment="1" applyFont="1" applyNumberFormat="1">
      <alignment horizontal="left" shrinkToFit="0" vertical="center" wrapText="1"/>
    </xf>
    <xf borderId="0" fillId="6" fontId="2" numFmtId="0" xfId="0" applyAlignment="1" applyFont="1">
      <alignment horizontal="center" vertical="center"/>
    </xf>
    <xf borderId="0" fillId="6" fontId="2" numFmtId="165" xfId="0" applyAlignment="1" applyFont="1" applyNumberFormat="1">
      <alignment vertical="center"/>
    </xf>
    <xf borderId="0" fillId="6" fontId="2" numFmtId="165" xfId="0" applyAlignment="1" applyFont="1" applyNumberFormat="1">
      <alignment readingOrder="0" vertical="center"/>
    </xf>
    <xf borderId="0" fillId="6" fontId="15" numFmtId="0" xfId="0" applyAlignment="1" applyFont="1">
      <alignment horizontal="left" readingOrder="0" vertical="center"/>
    </xf>
    <xf borderId="7" fillId="9" fontId="14" numFmtId="49" xfId="0" applyAlignment="1" applyBorder="1" applyFill="1" applyFont="1" applyNumberFormat="1">
      <alignment horizontal="center" readingOrder="0" vertical="center"/>
    </xf>
    <xf borderId="7" fillId="9" fontId="14" numFmtId="49" xfId="0" applyAlignment="1" applyBorder="1" applyFont="1" applyNumberFormat="1">
      <alignment horizontal="center" vertical="center"/>
    </xf>
    <xf borderId="0" fillId="0" fontId="16" numFmtId="167" xfId="0" applyFont="1" applyNumberFormat="1"/>
    <xf borderId="0" fillId="10" fontId="2" numFmtId="164" xfId="0" applyAlignment="1" applyFill="1" applyFont="1" applyNumberFormat="1">
      <alignment horizontal="right" vertical="center"/>
    </xf>
    <xf borderId="0" fillId="10" fontId="2" numFmtId="165" xfId="0" applyAlignment="1" applyFont="1" applyNumberFormat="1">
      <alignment vertical="center"/>
    </xf>
    <xf borderId="0" fillId="1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2" numFmtId="165" xfId="0" applyAlignment="1" applyFont="1" applyNumberFormat="1">
      <alignment vertical="center"/>
    </xf>
    <xf borderId="0" fillId="0" fontId="2" numFmtId="14" xfId="0" applyAlignment="1" applyFont="1" applyNumberFormat="1">
      <alignment horizontal="left" vertical="center"/>
    </xf>
    <xf borderId="0" fillId="0" fontId="17" numFmtId="165" xfId="0" applyAlignment="1" applyFont="1" applyNumberFormat="1">
      <alignment horizontal="right" shrinkToFit="0" vertical="bottom" wrapText="0"/>
    </xf>
    <xf borderId="0" fillId="0" fontId="17" numFmtId="165" xfId="0" applyAlignment="1" applyFont="1" applyNumberFormat="1">
      <alignment horizontal="right" shrinkToFit="0" vertical="center" wrapText="1"/>
    </xf>
    <xf borderId="0" fillId="0" fontId="2" numFmtId="167" xfId="0" applyAlignment="1" applyFont="1" applyNumberFormat="1">
      <alignment horizontal="left" vertical="center"/>
    </xf>
    <xf borderId="0" fillId="10" fontId="17" numFmtId="0" xfId="0" applyAlignment="1" applyFont="1">
      <alignment horizontal="left"/>
    </xf>
    <xf borderId="0" fillId="0" fontId="2" numFmtId="164" xfId="0" applyAlignment="1" applyFont="1" applyNumberFormat="1">
      <alignment horizontal="left" vertical="center"/>
    </xf>
    <xf borderId="0" fillId="0" fontId="4" numFmtId="0" xfId="0" applyAlignment="1" applyFont="1">
      <alignment horizontal="left" vertical="center"/>
    </xf>
    <xf borderId="9" fillId="9" fontId="14" numFmtId="49" xfId="0" applyAlignment="1" applyBorder="1" applyFont="1" applyNumberFormat="1">
      <alignment horizontal="center" vertical="center"/>
    </xf>
    <xf borderId="10" fillId="9" fontId="14" numFmtId="49" xfId="0" applyAlignment="1" applyBorder="1" applyFont="1" applyNumberFormat="1">
      <alignment horizontal="center" vertical="center"/>
    </xf>
    <xf borderId="0" fillId="9" fontId="14" numFmtId="49" xfId="0" applyAlignment="1" applyFont="1" applyNumberFormat="1">
      <alignment horizontal="center" vertical="center"/>
    </xf>
    <xf borderId="0" fillId="10" fontId="14" numFmtId="0" xfId="0" applyAlignment="1" applyFont="1">
      <alignment horizontal="left" vertical="center"/>
    </xf>
    <xf borderId="11" fillId="3" fontId="1" numFmtId="0" xfId="0" applyAlignment="1" applyBorder="1" applyFont="1">
      <alignment horizontal="left" vertical="center"/>
    </xf>
    <xf borderId="12" fillId="0" fontId="18" numFmtId="0" xfId="0" applyBorder="1" applyFont="1"/>
    <xf borderId="0" fillId="0" fontId="19" numFmtId="0" xfId="0" applyAlignment="1" applyFont="1">
      <alignment horizontal="left" vertical="center"/>
    </xf>
    <xf borderId="13" fillId="0" fontId="19" numFmtId="0" xfId="0" applyAlignment="1" applyBorder="1" applyFont="1">
      <alignment horizontal="center" vertical="center"/>
    </xf>
    <xf borderId="14" fillId="11" fontId="19" numFmtId="0" xfId="0" applyAlignment="1" applyBorder="1" applyFill="1" applyFont="1">
      <alignment horizontal="left" vertical="center"/>
    </xf>
    <xf borderId="15" fillId="11" fontId="19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right" vertical="center"/>
    </xf>
    <xf borderId="18" fillId="0" fontId="2" numFmtId="0" xfId="0" applyAlignment="1" applyBorder="1" applyFont="1">
      <alignment horizontal="left" vertical="center"/>
    </xf>
    <xf borderId="0" fillId="10" fontId="2" numFmtId="0" xfId="0" applyAlignment="1" applyFont="1">
      <alignment vertical="center"/>
    </xf>
    <xf borderId="19" fillId="0" fontId="2" numFmtId="0" xfId="0" applyAlignment="1" applyBorder="1" applyFont="1">
      <alignment horizontal="center" vertical="center"/>
    </xf>
    <xf borderId="0" fillId="10" fontId="19" numFmtId="0" xfId="0" applyAlignment="1" applyFont="1">
      <alignment horizontal="left" vertical="center"/>
    </xf>
    <xf borderId="18" fillId="0" fontId="2" numFmtId="0" xfId="0" applyAlignment="1" applyBorder="1" applyFont="1">
      <alignment horizontal="left" shrinkToFit="0" vertical="center" wrapText="1"/>
    </xf>
    <xf borderId="20" fillId="0" fontId="2" numFmtId="0" xfId="0" applyAlignment="1" applyBorder="1" applyFont="1">
      <alignment horizontal="left" vertical="center"/>
    </xf>
    <xf borderId="21" fillId="0" fontId="2" numFmtId="0" xfId="0" applyAlignment="1" applyBorder="1" applyFont="1">
      <alignment horizontal="left" vertical="center"/>
    </xf>
    <xf borderId="22" fillId="0" fontId="2" numFmtId="168" xfId="0" applyAlignment="1" applyBorder="1" applyFont="1" applyNumberFormat="1">
      <alignment horizontal="center" vertical="center"/>
    </xf>
    <xf borderId="0" fillId="0" fontId="16" numFmtId="0" xfId="0" applyAlignment="1" applyFont="1">
      <alignment horizontal="left"/>
    </xf>
    <xf borderId="0" fillId="0" fontId="16" numFmtId="0" xfId="0" applyAlignment="1" applyFont="1">
      <alignment horizontal="center"/>
    </xf>
    <xf borderId="0" fillId="0" fontId="10" numFmtId="0" xfId="0" applyFont="1"/>
    <xf borderId="0" fillId="0" fontId="5" numFmtId="0" xfId="0" applyFont="1"/>
    <xf borderId="0" fillId="0" fontId="2" numFmtId="0" xfId="0" applyFont="1"/>
    <xf borderId="1" fillId="2" fontId="1" numFmtId="0" xfId="0" applyAlignment="1" applyBorder="1" applyFont="1">
      <alignment horizontal="center" vertical="center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7" numFmtId="0" xfId="0" applyFont="1"/>
    <xf borderId="0" fillId="10" fontId="20" numFmtId="0" xfId="0" applyFont="1"/>
    <xf borderId="3" fillId="4" fontId="1" numFmtId="0" xfId="0" applyAlignment="1" applyBorder="1" applyFont="1">
      <alignment horizontal="center" vertical="center"/>
    </xf>
    <xf borderId="3" fillId="4" fontId="1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horizontal="center" vertical="center"/>
    </xf>
    <xf borderId="3" fillId="0" fontId="21" numFmtId="164" xfId="0" applyAlignment="1" applyBorder="1" applyFont="1" applyNumberFormat="1">
      <alignment horizontal="right" vertical="center"/>
    </xf>
    <xf borderId="3" fillId="0" fontId="21" numFmtId="169" xfId="0" applyAlignment="1" applyBorder="1" applyFont="1" applyNumberFormat="1">
      <alignment horizontal="right" vertical="center"/>
    </xf>
    <xf borderId="3" fillId="3" fontId="19" numFmtId="0" xfId="0" applyAlignment="1" applyBorder="1" applyFont="1">
      <alignment vertical="center"/>
    </xf>
    <xf borderId="3" fillId="3" fontId="19" numFmtId="164" xfId="0" applyAlignment="1" applyBorder="1" applyFont="1" applyNumberFormat="1">
      <alignment shrinkToFit="0" vertical="center" wrapText="1"/>
    </xf>
    <xf borderId="3" fillId="3" fontId="19" numFmtId="170" xfId="0" applyAlignment="1" applyBorder="1" applyFont="1" applyNumberFormat="1">
      <alignment shrinkToFit="0" vertical="center" wrapText="1"/>
    </xf>
    <xf borderId="3" fillId="12" fontId="19" numFmtId="0" xfId="0" applyAlignment="1" applyBorder="1" applyFill="1" applyFont="1">
      <alignment vertical="center"/>
    </xf>
    <xf borderId="3" fillId="12" fontId="19" numFmtId="164" xfId="0" applyAlignment="1" applyBorder="1" applyFont="1" applyNumberFormat="1">
      <alignment shrinkToFit="0" vertical="center" wrapText="1"/>
    </xf>
    <xf borderId="3" fillId="12" fontId="19" numFmtId="170" xfId="0" applyAlignment="1" applyBorder="1" applyFont="1" applyNumberFormat="1">
      <alignment shrinkToFit="0" vertical="center" wrapText="1"/>
    </xf>
    <xf borderId="23" fillId="3" fontId="19" numFmtId="0" xfId="0" applyAlignment="1" applyBorder="1" applyFont="1">
      <alignment vertical="center"/>
    </xf>
    <xf borderId="24" fillId="3" fontId="19" numFmtId="164" xfId="0" applyAlignment="1" applyBorder="1" applyFont="1" applyNumberFormat="1">
      <alignment shrinkToFit="0" vertical="center" wrapText="1"/>
    </xf>
    <xf borderId="24" fillId="3" fontId="19" numFmtId="170" xfId="0" applyAlignment="1" applyBorder="1" applyFont="1" applyNumberFormat="1">
      <alignment shrinkToFit="0" vertical="center" wrapText="1"/>
    </xf>
    <xf borderId="3" fillId="12" fontId="19" numFmtId="0" xfId="0" applyAlignment="1" applyBorder="1" applyFont="1">
      <alignment horizontal="left" vertical="center"/>
    </xf>
    <xf borderId="3" fillId="4" fontId="1" numFmtId="170" xfId="0" applyBorder="1" applyFont="1" applyNumberFormat="1"/>
    <xf borderId="25" fillId="4" fontId="1" numFmtId="0" xfId="0" applyAlignment="1" applyBorder="1" applyFont="1">
      <alignment horizontal="center" vertical="center"/>
    </xf>
    <xf borderId="3" fillId="4" fontId="1" numFmtId="164" xfId="0" applyBorder="1" applyFont="1" applyNumberFormat="1"/>
    <xf borderId="3" fillId="4" fontId="22" numFmtId="0" xfId="0" applyAlignment="1" applyBorder="1" applyFont="1">
      <alignment horizontal="center" vertical="center"/>
    </xf>
    <xf borderId="3" fillId="4" fontId="22" numFmtId="0" xfId="0" applyAlignment="1" applyBorder="1" applyFont="1">
      <alignment horizontal="center" shrinkToFit="0" vertical="center" wrapText="1"/>
    </xf>
    <xf borderId="7" fillId="3" fontId="23" numFmtId="0" xfId="0" applyBorder="1" applyFont="1"/>
    <xf borderId="0" fillId="0" fontId="16" numFmtId="0" xfId="0" applyFont="1"/>
    <xf borderId="3" fillId="0" fontId="24" numFmtId="0" xfId="0" applyAlignment="1" applyBorder="1" applyFont="1">
      <alignment horizontal="center" vertical="center"/>
    </xf>
    <xf borderId="3" fillId="0" fontId="7" numFmtId="170" xfId="0" applyAlignment="1" applyBorder="1" applyFont="1" applyNumberFormat="1">
      <alignment horizontal="right" vertical="center"/>
    </xf>
    <xf borderId="3" fillId="0" fontId="7" numFmtId="169" xfId="0" applyAlignment="1" applyBorder="1" applyFont="1" applyNumberFormat="1">
      <alignment horizontal="right" vertical="center"/>
    </xf>
    <xf borderId="3" fillId="0" fontId="7" numFmtId="166" xfId="0" applyAlignment="1" applyBorder="1" applyFont="1" applyNumberFormat="1">
      <alignment horizontal="right" vertical="center"/>
    </xf>
    <xf borderId="0" fillId="0" fontId="16" numFmtId="164" xfId="0" applyFont="1" applyNumberFormat="1"/>
    <xf borderId="3" fillId="3" fontId="23" numFmtId="0" xfId="0" applyAlignment="1" applyBorder="1" applyFont="1">
      <alignment vertical="center"/>
    </xf>
    <xf borderId="3" fillId="3" fontId="23" numFmtId="170" xfId="0" applyAlignment="1" applyBorder="1" applyFont="1" applyNumberFormat="1">
      <alignment shrinkToFit="0" vertical="center" wrapText="1"/>
    </xf>
    <xf borderId="3" fillId="3" fontId="23" numFmtId="166" xfId="0" applyAlignment="1" applyBorder="1" applyFont="1" applyNumberFormat="1">
      <alignment shrinkToFit="0" vertical="center" wrapText="1"/>
    </xf>
    <xf borderId="3" fillId="12" fontId="23" numFmtId="0" xfId="0" applyAlignment="1" applyBorder="1" applyFont="1">
      <alignment vertical="center"/>
    </xf>
    <xf borderId="3" fillId="12" fontId="23" numFmtId="170" xfId="0" applyAlignment="1" applyBorder="1" applyFont="1" applyNumberFormat="1">
      <alignment shrinkToFit="0" vertical="center" wrapText="1"/>
    </xf>
    <xf borderId="3" fillId="12" fontId="23" numFmtId="166" xfId="0" applyAlignment="1" applyBorder="1" applyFont="1" applyNumberFormat="1">
      <alignment shrinkToFit="0" vertical="center" wrapText="1"/>
    </xf>
    <xf borderId="0" fillId="0" fontId="16" numFmtId="164" xfId="0" applyAlignment="1" applyFont="1" applyNumberFormat="1">
      <alignment readingOrder="0"/>
    </xf>
    <xf borderId="13" fillId="0" fontId="6" numFmtId="0" xfId="0" applyAlignment="1" applyBorder="1" applyFont="1">
      <alignment horizontal="left" vertical="center"/>
    </xf>
    <xf borderId="5" fillId="0" fontId="6" numFmtId="170" xfId="0" applyAlignment="1" applyBorder="1" applyFont="1" applyNumberFormat="1">
      <alignment vertical="center"/>
    </xf>
    <xf borderId="5" fillId="0" fontId="6" numFmtId="166" xfId="0" applyAlignment="1" applyBorder="1" applyFont="1" applyNumberFormat="1">
      <alignment vertical="center"/>
    </xf>
    <xf borderId="3" fillId="12" fontId="23" numFmtId="170" xfId="0" applyAlignment="1" applyBorder="1" applyFont="1" applyNumberFormat="1">
      <alignment readingOrder="0" shrinkToFit="0" vertical="center" wrapText="1"/>
    </xf>
    <xf borderId="0" fillId="0" fontId="16" numFmtId="0" xfId="0" applyAlignment="1" applyFont="1">
      <alignment readingOrder="0"/>
    </xf>
    <xf borderId="0" fillId="0" fontId="6" numFmtId="0" xfId="0" applyAlignment="1" applyFont="1">
      <alignment readingOrder="0"/>
    </xf>
    <xf borderId="13" fillId="0" fontId="6" numFmtId="0" xfId="0" applyAlignment="1" applyBorder="1" applyFont="1">
      <alignment vertical="center"/>
    </xf>
    <xf borderId="23" fillId="3" fontId="23" numFmtId="0" xfId="0" applyAlignment="1" applyBorder="1" applyFont="1">
      <alignment vertical="center"/>
    </xf>
    <xf borderId="24" fillId="3" fontId="23" numFmtId="170" xfId="0" applyAlignment="1" applyBorder="1" applyFont="1" applyNumberFormat="1">
      <alignment shrinkToFit="0" vertical="center" wrapText="1"/>
    </xf>
    <xf borderId="3" fillId="12" fontId="23" numFmtId="0" xfId="0" applyAlignment="1" applyBorder="1" applyFont="1">
      <alignment horizontal="left" vertical="center"/>
    </xf>
    <xf borderId="4" fillId="0" fontId="25" numFmtId="170" xfId="0" applyAlignment="1" applyBorder="1" applyFont="1" applyNumberFormat="1">
      <alignment horizontal="right" readingOrder="0" shrinkToFit="0" vertical="bottom" wrapText="0"/>
    </xf>
    <xf borderId="26" fillId="0" fontId="6" numFmtId="170" xfId="0" applyAlignment="1" applyBorder="1" applyFont="1" applyNumberFormat="1">
      <alignment horizontal="right" readingOrder="0"/>
    </xf>
    <xf borderId="5" fillId="0" fontId="25" numFmtId="170" xfId="0" applyAlignment="1" applyBorder="1" applyFont="1" applyNumberFormat="1">
      <alignment horizontal="right" readingOrder="0" shrinkToFit="0" vertical="bottom" wrapText="0"/>
    </xf>
    <xf borderId="27" fillId="0" fontId="6" numFmtId="170" xfId="0" applyAlignment="1" applyBorder="1" applyFont="1" applyNumberFormat="1">
      <alignment horizontal="right" readingOrder="0"/>
    </xf>
    <xf borderId="27" fillId="0" fontId="6" numFmtId="170" xfId="0" applyAlignment="1" applyBorder="1" applyFont="1" applyNumberFormat="1">
      <alignment horizontal="right" readingOrder="0" vertical="bottom"/>
    </xf>
    <xf borderId="6" fillId="0" fontId="25" numFmtId="170" xfId="0" applyAlignment="1" applyBorder="1" applyFont="1" applyNumberFormat="1">
      <alignment horizontal="right" readingOrder="0" shrinkToFit="0" vertical="bottom" wrapText="0"/>
    </xf>
    <xf borderId="28" fillId="0" fontId="6" numFmtId="170" xfId="0" applyAlignment="1" applyBorder="1" applyFont="1" applyNumberFormat="1">
      <alignment horizontal="right" vertical="bottom"/>
    </xf>
    <xf borderId="5" fillId="0" fontId="6" numFmtId="170" xfId="0" applyBorder="1" applyFont="1" applyNumberFormat="1"/>
    <xf borderId="4" fillId="0" fontId="6" numFmtId="170" xfId="0" applyAlignment="1" applyBorder="1" applyFont="1" applyNumberFormat="1">
      <alignment horizontal="right" readingOrder="0" vertical="bottom"/>
    </xf>
    <xf borderId="26" fillId="0" fontId="6" numFmtId="170" xfId="0" applyAlignment="1" applyBorder="1" applyFont="1" applyNumberFormat="1">
      <alignment horizontal="right" readingOrder="0" vertical="bottom"/>
    </xf>
    <xf borderId="6" fillId="0" fontId="6" numFmtId="170" xfId="0" applyAlignment="1" applyBorder="1" applyFont="1" applyNumberFormat="1">
      <alignment horizontal="right" readingOrder="0" vertical="bottom"/>
    </xf>
    <xf borderId="28" fillId="0" fontId="6" numFmtId="170" xfId="0" applyAlignment="1" applyBorder="1" applyFont="1" applyNumberFormat="1">
      <alignment horizontal="right" readingOrder="0" vertical="bottom"/>
    </xf>
    <xf borderId="5" fillId="0" fontId="6" numFmtId="170" xfId="0" applyAlignment="1" applyBorder="1" applyFont="1" applyNumberFormat="1">
      <alignment shrinkToFit="0" vertical="center" wrapText="1"/>
    </xf>
    <xf borderId="0" fillId="0" fontId="6" numFmtId="49" xfId="0" applyFont="1" applyNumberFormat="1"/>
    <xf borderId="3" fillId="3" fontId="23" numFmtId="166" xfId="0" applyAlignment="1" applyBorder="1" applyFont="1" applyNumberFormat="1">
      <alignment horizontal="right" shrinkToFit="0" wrapText="1"/>
    </xf>
    <xf borderId="3" fillId="3" fontId="23" numFmtId="170" xfId="0" applyBorder="1" applyFont="1" applyNumberFormat="1"/>
    <xf borderId="25" fillId="4" fontId="22" numFmtId="0" xfId="0" applyAlignment="1" applyBorder="1" applyFont="1">
      <alignment horizontal="right" vertical="center"/>
    </xf>
    <xf borderId="3" fillId="4" fontId="22" numFmtId="170" xfId="0" applyBorder="1" applyFont="1" applyNumberFormat="1"/>
    <xf borderId="3" fillId="4" fontId="22" numFmtId="166" xfId="0" applyBorder="1" applyFont="1" applyNumberFormat="1"/>
    <xf borderId="0" fillId="0" fontId="26" numFmtId="0" xfId="0" applyAlignment="1" applyFont="1">
      <alignment vertical="center"/>
    </xf>
    <xf borderId="0" fillId="0" fontId="6" numFmtId="170" xfId="0" applyAlignment="1" applyFont="1" applyNumberFormat="1">
      <alignment horizontal="right" vertical="bottom"/>
    </xf>
    <xf borderId="29" fillId="4" fontId="22" numFmtId="0" xfId="0" applyAlignment="1" applyBorder="1" applyFont="1">
      <alignment vertical="center"/>
    </xf>
    <xf borderId="30" fillId="4" fontId="19" numFmtId="0" xfId="0" applyAlignment="1" applyBorder="1" applyFont="1">
      <alignment vertical="center"/>
    </xf>
    <xf borderId="0" fillId="0" fontId="27" numFmtId="0" xfId="0" applyAlignment="1" applyFont="1">
      <alignment shrinkToFit="0" vertical="center" wrapText="1"/>
    </xf>
    <xf borderId="20" fillId="3" fontId="19" numFmtId="0" xfId="0" applyAlignment="1" applyBorder="1" applyFont="1">
      <alignment horizontal="left" vertical="center"/>
    </xf>
    <xf borderId="17" fillId="3" fontId="19" numFmtId="0" xfId="0" applyAlignment="1" applyBorder="1" applyFont="1">
      <alignment horizontal="left" vertical="center"/>
    </xf>
    <xf borderId="0" fillId="0" fontId="27" numFmtId="0" xfId="0" applyAlignment="1" applyFont="1">
      <alignment horizontal="left" shrinkToFit="0" vertical="center" wrapText="1"/>
    </xf>
    <xf borderId="20" fillId="12" fontId="19" numFmtId="0" xfId="0" applyAlignment="1" applyBorder="1" applyFont="1">
      <alignment horizontal="left" shrinkToFit="0" vertical="center" wrapText="1"/>
    </xf>
    <xf borderId="17" fillId="0" fontId="14" numFmtId="0" xfId="0" applyAlignment="1" applyBorder="1" applyFont="1">
      <alignment horizontal="left" shrinkToFit="0" vertical="center" wrapText="1"/>
    </xf>
    <xf borderId="20" fillId="12" fontId="19" numFmtId="0" xfId="0" applyAlignment="1" applyBorder="1" applyFont="1">
      <alignment horizontal="left" vertical="center"/>
    </xf>
    <xf borderId="31" fillId="0" fontId="28" numFmtId="0" xfId="0" applyAlignment="1" applyBorder="1" applyFont="1">
      <alignment horizontal="left" vertical="center"/>
    </xf>
    <xf borderId="17" fillId="3" fontId="19" numFmtId="0" xfId="0" applyAlignment="1" applyBorder="1" applyFont="1">
      <alignment horizontal="left" shrinkToFit="0" vertical="center" wrapText="1"/>
    </xf>
    <xf borderId="17" fillId="0" fontId="14" numFmtId="0" xfId="0" applyAlignment="1" applyBorder="1" applyFont="1">
      <alignment horizontal="left" vertical="center"/>
    </xf>
    <xf borderId="21" fillId="3" fontId="19" numFmtId="0" xfId="0" applyAlignment="1" applyBorder="1" applyFont="1">
      <alignment horizontal="left" shrinkToFit="0" vertical="center" wrapText="1"/>
    </xf>
    <xf borderId="22" fillId="3" fontId="19" numFmtId="0" xfId="0" applyAlignment="1" applyBorder="1" applyFont="1">
      <alignment horizontal="left" shrinkToFit="0" vertical="center" wrapText="1"/>
    </xf>
    <xf borderId="0" fillId="13" fontId="29" numFmtId="0" xfId="0" applyAlignment="1" applyFill="1" applyFont="1">
      <alignment vertical="bottom"/>
    </xf>
    <xf borderId="0" fillId="0" fontId="30" numFmtId="0" xfId="0" applyAlignment="1" applyFont="1">
      <alignment readingOrder="0" vertical="bottom"/>
    </xf>
    <xf borderId="0" fillId="0" fontId="30" numFmtId="0" xfId="0" applyAlignment="1" applyFont="1">
      <alignment vertical="bottom"/>
    </xf>
    <xf borderId="7" fillId="2" fontId="1" numFmtId="0" xfId="0" applyAlignment="1" applyBorder="1" applyFont="1">
      <alignment horizontal="right"/>
    </xf>
    <xf borderId="32" fillId="0" fontId="24" numFmtId="164" xfId="0" applyBorder="1" applyFont="1" applyNumberFormat="1"/>
    <xf borderId="32" fillId="0" fontId="25" numFmtId="164" xfId="0" applyBorder="1" applyFont="1" applyNumberFormat="1"/>
    <xf borderId="24" fillId="3" fontId="23" numFmtId="166" xfId="0" applyAlignment="1" applyBorder="1" applyFont="1" applyNumberFormat="1">
      <alignment shrinkToFit="0" vertical="center" wrapText="1"/>
    </xf>
    <xf borderId="5" fillId="0" fontId="31" numFmtId="170" xfId="0" applyAlignment="1" applyBorder="1" applyFont="1" applyNumberFormat="1">
      <alignment vertical="center"/>
    </xf>
    <xf borderId="3" fillId="3" fontId="23" numFmtId="166" xfId="0" applyAlignment="1" applyBorder="1" applyFont="1" applyNumberFormat="1">
      <alignment horizontal="center" shrinkToFit="0" wrapText="1"/>
    </xf>
    <xf borderId="3" fillId="3" fontId="23" numFmtId="166" xfId="0" applyBorder="1" applyFont="1" applyNumberFormat="1"/>
    <xf borderId="7" fillId="4" fontId="1" numFmtId="0" xfId="0" applyAlignment="1" applyBorder="1" applyFont="1">
      <alignment horizontal="center" vertical="center"/>
    </xf>
    <xf borderId="0" fillId="0" fontId="7" numFmtId="164" xfId="0" applyFont="1" applyNumberFormat="1"/>
    <xf borderId="0" fillId="0" fontId="32" numFmtId="0" xfId="0" applyFont="1"/>
    <xf borderId="0" fillId="0" fontId="32" numFmtId="0" xfId="0" applyAlignment="1" applyFont="1">
      <alignment horizontal="left"/>
    </xf>
    <xf borderId="0" fillId="0" fontId="33" numFmtId="0" xfId="0" applyFont="1"/>
    <xf borderId="3" fillId="14" fontId="34" numFmtId="0" xfId="0" applyAlignment="1" applyBorder="1" applyFill="1" applyFont="1">
      <alignment horizontal="center" shrinkToFit="0" vertical="center" wrapText="1"/>
    </xf>
    <xf borderId="7" fillId="5" fontId="35" numFmtId="0" xfId="0" applyAlignment="1" applyBorder="1" applyFont="1">
      <alignment horizontal="left"/>
    </xf>
    <xf borderId="7" fillId="3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7" fillId="15" fontId="10" numFmtId="0" xfId="0" applyAlignment="1" applyBorder="1" applyFill="1" applyFont="1">
      <alignment horizontal="left"/>
    </xf>
    <xf borderId="0" fillId="0" fontId="10" numFmtId="0" xfId="0" applyAlignment="1" applyFont="1">
      <alignment horizontal="right"/>
    </xf>
    <xf borderId="0" fillId="0" fontId="10" numFmtId="0" xfId="0" applyAlignment="1" applyFont="1">
      <alignment horizontal="left"/>
    </xf>
    <xf borderId="33" fillId="0" fontId="30" numFmtId="0" xfId="0" applyAlignment="1" applyBorder="1" applyFont="1">
      <alignment readingOrder="0" vertical="bottom"/>
    </xf>
    <xf borderId="3" fillId="11" fontId="19" numFmtId="0" xfId="0" applyAlignment="1" applyBorder="1" applyFont="1">
      <alignment horizontal="center" vertical="center"/>
    </xf>
    <xf borderId="3" fillId="11" fontId="19" numFmtId="0" xfId="0" applyAlignment="1" applyBorder="1" applyFont="1">
      <alignment vertical="center"/>
    </xf>
    <xf borderId="7" fillId="4" fontId="10" numFmtId="0" xfId="0" applyAlignment="1" applyBorder="1" applyFont="1">
      <alignment horizontal="left"/>
    </xf>
    <xf borderId="3" fillId="0" fontId="33" numFmtId="0" xfId="0" applyAlignment="1" applyBorder="1" applyFont="1">
      <alignment horizontal="center"/>
    </xf>
    <xf borderId="34" fillId="0" fontId="6" numFmtId="0" xfId="0" applyAlignment="1" applyBorder="1" applyFont="1">
      <alignment vertical="center"/>
    </xf>
    <xf borderId="34" fillId="0" fontId="6" numFmtId="0" xfId="0" applyAlignment="1" applyBorder="1" applyFont="1">
      <alignment horizontal="left" vertical="center"/>
    </xf>
    <xf borderId="7" fillId="16" fontId="10" numFmtId="0" xfId="0" applyAlignment="1" applyBorder="1" applyFill="1" applyFont="1">
      <alignment horizontal="left"/>
    </xf>
    <xf borderId="7" fillId="17" fontId="10" numFmtId="0" xfId="0" applyAlignment="1" applyBorder="1" applyFill="1" applyFont="1">
      <alignment horizontal="left"/>
    </xf>
    <xf borderId="7" fillId="18" fontId="10" numFmtId="0" xfId="0" applyAlignment="1" applyBorder="1" applyFill="1" applyFont="1">
      <alignment horizontal="left"/>
    </xf>
    <xf borderId="0" fillId="19" fontId="10" numFmtId="0" xfId="0" applyFill="1" applyFont="1"/>
    <xf borderId="0" fillId="20" fontId="10" numFmtId="0" xfId="0" applyFill="1" applyFont="1"/>
    <xf borderId="0" fillId="0" fontId="10" numFmtId="168" xfId="0" applyAlignment="1" applyFont="1" applyNumberFormat="1">
      <alignment horizontal="right"/>
    </xf>
    <xf borderId="0" fillId="0" fontId="16" numFmtId="168" xfId="0" applyFont="1" applyNumberFormat="1"/>
    <xf borderId="3" fillId="0" fontId="33" numFmtId="49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C55A11"/>
          <bgColor rgb="FFC55A11"/>
        </patternFill>
      </fill>
      <border/>
    </dxf>
    <dxf>
      <font/>
      <fill>
        <patternFill patternType="solid">
          <fgColor rgb="FFC00000"/>
          <bgColor rgb="FFC00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971550</xdr:colOff>
      <xdr:row>7</xdr:row>
      <xdr:rowOff>76200</xdr:rowOff>
    </xdr:from>
    <xdr:ext cx="28575" cy="914400"/>
    <xdr:grpSp>
      <xdr:nvGrpSpPr>
        <xdr:cNvPr id="2" name="Shape 2"/>
        <xdr:cNvGrpSpPr/>
      </xdr:nvGrpSpPr>
      <xdr:grpSpPr>
        <a:xfrm>
          <a:off x="5331713" y="3322800"/>
          <a:ext cx="28575" cy="914400"/>
          <a:chOff x="5331713" y="3322800"/>
          <a:chExt cx="28575" cy="914400"/>
        </a:xfrm>
      </xdr:grpSpPr>
      <xdr:grpSp>
        <xdr:nvGrpSpPr>
          <xdr:cNvPr id="3" name="Shape 3"/>
          <xdr:cNvGrpSpPr/>
        </xdr:nvGrpSpPr>
        <xdr:grpSpPr>
          <a:xfrm>
            <a:off x="5331713" y="3322800"/>
            <a:ext cx="28575" cy="914400"/>
            <a:chOff x="5331713" y="3322800"/>
            <a:chExt cx="28575" cy="914400"/>
          </a:xfrm>
        </xdr:grpSpPr>
        <xdr:sp>
          <xdr:nvSpPr>
            <xdr:cNvPr id="4" name="Shape 4"/>
            <xdr:cNvSpPr/>
          </xdr:nvSpPr>
          <xdr:spPr>
            <a:xfrm>
              <a:off x="5331713" y="3322800"/>
              <a:ext cx="28575" cy="914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5331713" y="3322800"/>
              <a:ext cx="28575" cy="914400"/>
              <a:chOff x="5331713" y="3322800"/>
              <a:chExt cx="28575" cy="914400"/>
            </a:xfrm>
          </xdr:grpSpPr>
          <xdr:sp>
            <xdr:nvSpPr>
              <xdr:cNvPr id="6" name="Shape 6"/>
              <xdr:cNvSpPr/>
            </xdr:nvSpPr>
            <xdr:spPr>
              <a:xfrm>
                <a:off x="5331713" y="3322800"/>
                <a:ext cx="28575" cy="914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5331713" y="3322800"/>
                <a:ext cx="28575" cy="914400"/>
                <a:chOff x="5331713" y="3322800"/>
                <a:chExt cx="28575" cy="9144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5331713" y="3322800"/>
                  <a:ext cx="28575" cy="914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5331713" y="3322800"/>
                  <a:ext cx="28575" cy="914400"/>
                  <a:chOff x="5331713" y="3322800"/>
                  <a:chExt cx="28575" cy="9144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5331713" y="3322800"/>
                    <a:ext cx="28575" cy="914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5331713" y="3322800"/>
                    <a:ext cx="28575" cy="914400"/>
                    <a:chOff x="5331713" y="3322800"/>
                    <a:chExt cx="28575" cy="914400"/>
                  </a:xfrm>
                </xdr:grpSpPr>
                <xdr:sp>
                  <xdr:nvSpPr>
                    <xdr:cNvPr id="12" name="Shape 12"/>
                    <xdr:cNvSpPr/>
                  </xdr:nvSpPr>
                  <xdr:spPr>
                    <a:xfrm>
                      <a:off x="5331713" y="3322800"/>
                      <a:ext cx="28575" cy="914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3" name="Shape 13"/>
                    <xdr:cNvCxnSpPr/>
                  </xdr:nvCxnSpPr>
                  <xdr:spPr>
                    <a:xfrm flipH="1">
                      <a:off x="5331713" y="3322800"/>
                      <a:ext cx="28575" cy="914400"/>
                    </a:xfrm>
                    <a:prstGeom prst="straightConnector1">
                      <a:avLst/>
                    </a:prstGeom>
                    <a:noFill/>
                    <a:ln cap="flat" cmpd="sng" w="38100">
                      <a:solidFill>
                        <a:srgbClr val="FF0000"/>
                      </a:solidFill>
                      <a:prstDash val="solid"/>
                      <a:miter lim="800000"/>
                      <a:headEnd len="sm" w="sm" type="none"/>
                      <a:tailEnd len="med" w="med" type="triangl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19050</xdr:rowOff>
    </xdr:from>
    <xdr:ext cx="6858000" cy="704850"/>
    <xdr:sp>
      <xdr:nvSpPr>
        <xdr:cNvPr id="14" name="Shape 14"/>
        <xdr:cNvSpPr/>
      </xdr:nvSpPr>
      <xdr:spPr>
        <a:xfrm>
          <a:off x="1921763" y="3432338"/>
          <a:ext cx="6848475" cy="695325"/>
        </a:xfrm>
        <a:prstGeom prst="rect">
          <a:avLst/>
        </a:prstGeom>
        <a:solidFill>
          <a:schemeClr val="accent2"/>
        </a:solidFill>
        <a:ln cap="flat" cmpd="sng" w="9525">
          <a:solidFill>
            <a:srgbClr val="54813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7CAAC"/>
            </a:buClr>
            <a:buSzPts val="4400"/>
            <a:buFont typeface="Arial"/>
            <a:buNone/>
          </a:pPr>
          <a:r>
            <a:rPr b="1" lang="en-US" sz="4400" cap="none">
              <a:solidFill>
                <a:srgbClr val="F7CAAC"/>
              </a:solidFill>
            </a:rPr>
            <a:t>Relatório &amp; Contas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4.43" defaultRowHeight="15.0" outlineLevelRow="1"/>
  <cols>
    <col customWidth="1" min="1" max="1" width="25.57"/>
    <col customWidth="1" min="2" max="2" width="20.29"/>
    <col customWidth="1" min="3" max="3" width="17.86"/>
    <col customWidth="1" min="4" max="4" width="16.43"/>
    <col customWidth="1" min="5" max="5" width="80.71"/>
    <col customWidth="1" min="6" max="6" width="15.29"/>
    <col customWidth="1" min="7" max="7" width="52.0"/>
    <col customWidth="1" min="8" max="26" width="17.29"/>
  </cols>
  <sheetData>
    <row r="1" ht="33.0" customHeight="1">
      <c r="A1" s="1" t="s">
        <v>0</v>
      </c>
      <c r="B1" s="2" t="s">
        <v>1</v>
      </c>
      <c r="C1" s="3" t="s">
        <v>2</v>
      </c>
      <c r="D1" s="4"/>
      <c r="E1" s="5" t="s">
        <v>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>
        <f>+SUM(C10:C90)-SUM(D10:D90)</f>
        <v>-10</v>
      </c>
      <c r="B2" s="7">
        <f>+SUM(C10:C90)</f>
        <v>0</v>
      </c>
      <c r="C2" s="8">
        <f>+SUBTOTAL(9,D10:D90)</f>
        <v>10</v>
      </c>
      <c r="E2" s="9" t="s">
        <v>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10"/>
      <c r="B3" s="11"/>
      <c r="E3" s="12" t="s">
        <v>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1"/>
      <c r="E4" s="13" t="s">
        <v>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/>
      <c r="B5" s="11"/>
      <c r="E5" s="14" t="s">
        <v>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5"/>
      <c r="B6" s="16"/>
      <c r="C6" s="4"/>
      <c r="D6" s="17"/>
      <c r="E6" s="1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0"/>
      <c r="B7" s="19"/>
      <c r="C7" s="20"/>
      <c r="D7" s="8"/>
      <c r="E7" s="21"/>
      <c r="F7" s="22" t="s">
        <v>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0"/>
      <c r="B8" s="16"/>
      <c r="C8" s="23" t="s">
        <v>9</v>
      </c>
      <c r="D8" s="23" t="s">
        <v>9</v>
      </c>
      <c r="E8" s="23" t="s">
        <v>9</v>
      </c>
      <c r="F8" s="23" t="s">
        <v>9</v>
      </c>
      <c r="G8" s="24" t="s">
        <v>10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3.0" customHeight="1">
      <c r="A9" s="25" t="s">
        <v>11</v>
      </c>
      <c r="B9" s="26" t="s">
        <v>12</v>
      </c>
      <c r="C9" s="27" t="s">
        <v>13</v>
      </c>
      <c r="D9" s="28" t="s">
        <v>14</v>
      </c>
      <c r="E9" s="28" t="s">
        <v>15</v>
      </c>
      <c r="F9" s="28" t="s">
        <v>16</v>
      </c>
      <c r="G9" s="29" t="s">
        <v>17</v>
      </c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22.5" customHeight="1">
      <c r="A10" s="31" t="s">
        <v>18</v>
      </c>
      <c r="B10" s="31" t="s">
        <v>18</v>
      </c>
      <c r="C10" s="32" t="str">
        <f>'Dados Iniciais Preencher'!C22</f>
        <v>--//--//--</v>
      </c>
      <c r="D10" s="31" t="s">
        <v>18</v>
      </c>
      <c r="E10" s="33" t="s">
        <v>19</v>
      </c>
      <c r="F10" s="34" t="s">
        <v>18</v>
      </c>
      <c r="G10" s="35" t="str">
        <f>IFERROR((VLOOKUP($F10,Apoio!$O:$P,2,FALSE)),"")</f>
        <v>-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3.25" customHeight="1">
      <c r="A11" s="36"/>
      <c r="B11" s="37">
        <v>1.0</v>
      </c>
      <c r="C11" s="38">
        <v>0.0</v>
      </c>
      <c r="D11" s="39">
        <v>10.0</v>
      </c>
      <c r="E11" s="40" t="s">
        <v>20</v>
      </c>
      <c r="F11" s="41" t="s">
        <v>21</v>
      </c>
      <c r="G11" s="42" t="str">
        <f>IFERROR((VLOOKUP($F11,Apoio!$O:$P,2,FALSE)),"")</f>
        <v>FDS Campo | Deslocações FDS Campo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43"/>
      <c r="B12" s="16"/>
      <c r="C12" s="44"/>
      <c r="D12" s="45"/>
      <c r="E12" s="46"/>
      <c r="F12" s="42"/>
      <c r="G12" s="42" t="str">
        <f>IFERROR((VLOOKUP($F12,Apoio!$O:$P,2,FALSE)),"")</f>
        <v/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43"/>
      <c r="B13" s="16"/>
      <c r="C13" s="47"/>
      <c r="D13" s="48"/>
      <c r="E13" s="15"/>
      <c r="F13" s="42"/>
      <c r="G13" s="42" t="str">
        <f>IFERROR((VLOOKUP($F13,Apoio!$O:$P,2,FALSE)),"")</f>
        <v/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49"/>
      <c r="B14" s="16"/>
      <c r="C14" s="47"/>
      <c r="D14" s="50"/>
      <c r="E14" s="15"/>
      <c r="F14" s="42"/>
      <c r="G14" s="42" t="str">
        <f>IFERROR((VLOOKUP($F14,Apoio!$O:$P,2,FALSE)),"")</f>
        <v/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49"/>
      <c r="B15" s="16"/>
      <c r="C15" s="47"/>
      <c r="D15" s="50"/>
      <c r="E15" s="15"/>
      <c r="F15" s="42"/>
      <c r="G15" s="4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49"/>
      <c r="B16" s="16"/>
      <c r="C16" s="47"/>
      <c r="D16" s="48"/>
      <c r="E16" s="15"/>
      <c r="F16" s="42"/>
      <c r="G16" s="42" t="str">
        <f>IFERROR((VLOOKUP($F16,Apoio!$O:$P,2,FALSE)),"")</f>
        <v/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49"/>
      <c r="B17" s="16"/>
      <c r="C17" s="47"/>
      <c r="D17" s="51"/>
      <c r="E17" s="15"/>
      <c r="F17" s="42"/>
      <c r="G17" s="4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52"/>
      <c r="B18" s="16"/>
      <c r="C18" s="47"/>
      <c r="D18" s="48"/>
      <c r="E18" s="15"/>
      <c r="F18" s="42"/>
      <c r="G18" s="42" t="str">
        <f>IFERROR((VLOOKUP($F18,Apoio!$O:$P,2,FALSE)),"")</f>
        <v/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52"/>
      <c r="B19" s="16"/>
      <c r="C19" s="47"/>
      <c r="D19" s="48"/>
      <c r="E19" s="15"/>
      <c r="F19" s="42"/>
      <c r="G19" s="42" t="str">
        <f>IFERROR((VLOOKUP($F19,Apoio!$O:$P,2,FALSE)),"")</f>
        <v/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49"/>
      <c r="B20" s="16"/>
      <c r="C20" s="47"/>
      <c r="D20" s="48"/>
      <c r="E20" s="15"/>
      <c r="F20" s="42"/>
      <c r="G20" s="42" t="str">
        <f>IFERROR((VLOOKUP($F20,Apoio!$O:$P,2,FALSE)),"")</f>
        <v/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49"/>
      <c r="B21" s="16"/>
      <c r="C21" s="47"/>
      <c r="D21" s="48"/>
      <c r="E21" s="15"/>
      <c r="F21" s="42"/>
      <c r="G21" s="42" t="str">
        <f>IFERROR((VLOOKUP($F21,Apoio!$O:$P,2,FALSE)),"")</f>
        <v/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49"/>
      <c r="B22" s="16"/>
      <c r="C22" s="47"/>
      <c r="D22" s="48"/>
      <c r="E22" s="15"/>
      <c r="F22" s="42"/>
      <c r="G22" s="42" t="str">
        <f>IFERROR((VLOOKUP($F22,Apoio!$O:$P,2,FALSE)),"")</f>
        <v/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49"/>
      <c r="B23" s="16"/>
      <c r="C23" s="47"/>
      <c r="D23" s="48"/>
      <c r="E23" s="15"/>
      <c r="F23" s="42"/>
      <c r="G23" s="42" t="str">
        <f>IFERROR((VLOOKUP($F23,Apoio!$O:$P,2,FALSE)),"")</f>
        <v/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49"/>
      <c r="B24" s="16"/>
      <c r="C24" s="47"/>
      <c r="D24" s="48"/>
      <c r="E24" s="15"/>
      <c r="F24" s="42"/>
      <c r="G24" s="42" t="str">
        <f>IFERROR((VLOOKUP($F24,Apoio!$O:$P,2,FALSE)),"")</f>
        <v/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49"/>
      <c r="B25" s="16"/>
      <c r="C25" s="47"/>
      <c r="D25" s="48"/>
      <c r="E25" s="15"/>
      <c r="F25" s="42"/>
      <c r="G25" s="42" t="str">
        <f>IFERROR((VLOOKUP($F25,Apoio!$O:$P,2,FALSE)),"")</f>
        <v/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49"/>
      <c r="B26" s="16"/>
      <c r="C26" s="47"/>
      <c r="D26" s="48"/>
      <c r="E26" s="15"/>
      <c r="F26" s="42"/>
      <c r="G26" s="42" t="str">
        <f>IFERROR((VLOOKUP($F26,Apoio!$O:$P,2,FALSE)),"")</f>
        <v/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9"/>
      <c r="B27" s="16"/>
      <c r="C27" s="47"/>
      <c r="D27" s="48"/>
      <c r="E27" s="15"/>
      <c r="F27" s="42"/>
      <c r="G27" s="42" t="str">
        <f>IFERROR((VLOOKUP($F27,Apoio!$O:$P,2,FALSE)),"")</f>
        <v/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9"/>
      <c r="B28" s="16"/>
      <c r="C28" s="47"/>
      <c r="D28" s="48"/>
      <c r="E28" s="15"/>
      <c r="F28" s="42"/>
      <c r="G28" s="42" t="str">
        <f>IFERROR((VLOOKUP($F28,Apoio!$O:$P,2,FALSE)),"")</f>
        <v/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9"/>
      <c r="B29" s="16"/>
      <c r="C29" s="47"/>
      <c r="D29" s="48"/>
      <c r="E29" s="53"/>
      <c r="F29" s="42"/>
      <c r="G29" s="42" t="str">
        <f>IFERROR((VLOOKUP($F29,Apoio!$O:$P,2,FALSE)),"")</f>
        <v/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9"/>
      <c r="B30" s="16"/>
      <c r="C30" s="47"/>
      <c r="D30" s="48"/>
      <c r="E30" s="15"/>
      <c r="F30" s="42"/>
      <c r="G30" s="42" t="str">
        <f>IFERROR((VLOOKUP($F30,Apoio!$O:$P,2,FALSE)),"")</f>
        <v/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9"/>
      <c r="B31" s="16"/>
      <c r="C31" s="47"/>
      <c r="D31" s="48"/>
      <c r="E31" s="15"/>
      <c r="F31" s="42"/>
      <c r="G31" s="42" t="str">
        <f>IFERROR((VLOOKUP($F31,Apoio!$O:$P,2,FALSE)),"")</f>
        <v/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9"/>
      <c r="B32" s="16"/>
      <c r="C32" s="47"/>
      <c r="D32" s="48"/>
      <c r="E32" s="15"/>
      <c r="F32" s="42"/>
      <c r="G32" s="42" t="str">
        <f>IFERROR((VLOOKUP($F32,Apoio!$O:$P,2,FALSE)),"")</f>
        <v/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9"/>
      <c r="B33" s="16"/>
      <c r="C33" s="47"/>
      <c r="D33" s="48"/>
      <c r="E33" s="15"/>
      <c r="F33" s="42"/>
      <c r="G33" s="42" t="str">
        <f>IFERROR((VLOOKUP($F33,Apoio!$O:$P,2,FALSE)),"")</f>
        <v/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9"/>
      <c r="B34" s="16"/>
      <c r="C34" s="47"/>
      <c r="D34" s="48"/>
      <c r="E34" s="15"/>
      <c r="F34" s="42"/>
      <c r="G34" s="42" t="str">
        <f>IFERROR((VLOOKUP($F34,Apoio!$O:$P,2,FALSE)),"")</f>
        <v/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9"/>
      <c r="B35" s="16"/>
      <c r="C35" s="47"/>
      <c r="D35" s="48"/>
      <c r="E35" s="15"/>
      <c r="F35" s="42"/>
      <c r="G35" s="42" t="str">
        <f>IFERROR((VLOOKUP($F35,Apoio!$O:$P,2,FALSE)),"")</f>
        <v/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9"/>
      <c r="B36" s="16"/>
      <c r="C36" s="47"/>
      <c r="D36" s="48"/>
      <c r="E36" s="15"/>
      <c r="F36" s="42"/>
      <c r="G36" s="42" t="str">
        <f>IFERROR((VLOOKUP($F36,Apoio!$O:$P,2,FALSE)),"")</f>
        <v/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9"/>
      <c r="B37" s="16"/>
      <c r="C37" s="47"/>
      <c r="D37" s="48"/>
      <c r="E37" s="15"/>
      <c r="F37" s="42"/>
      <c r="G37" s="42" t="str">
        <f>IFERROR((VLOOKUP($F37,Apoio!$O:$P,2,FALSE)),"")</f>
        <v/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9"/>
      <c r="B38" s="16"/>
      <c r="C38" s="47"/>
      <c r="D38" s="48"/>
      <c r="E38" s="15"/>
      <c r="F38" s="42"/>
      <c r="G38" s="42" t="str">
        <f>IFERROR((VLOOKUP($F38,Apoio!$O:$P,2,FALSE)),"")</f>
        <v/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9"/>
      <c r="B39" s="16"/>
      <c r="C39" s="47"/>
      <c r="D39" s="48"/>
      <c r="E39" s="15"/>
      <c r="F39" s="42"/>
      <c r="G39" s="42" t="str">
        <f>IFERROR((VLOOKUP($F39,Apoio!$O:$P,2,FALSE)),"")</f>
        <v/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9"/>
      <c r="B40" s="16"/>
      <c r="C40" s="47"/>
      <c r="D40" s="48"/>
      <c r="E40" s="15"/>
      <c r="F40" s="42"/>
      <c r="G40" s="42" t="str">
        <f>IFERROR((VLOOKUP($F40,Apoio!$O:$P,2,FALSE)),"")</f>
        <v/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9"/>
      <c r="B41" s="16"/>
      <c r="C41" s="47"/>
      <c r="D41" s="48"/>
      <c r="E41" s="15"/>
      <c r="F41" s="42"/>
      <c r="G41" s="42" t="str">
        <f>IFERROR((VLOOKUP($F41,Apoio!$O:$P,2,FALSE)),"")</f>
        <v/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9"/>
      <c r="B42" s="16"/>
      <c r="C42" s="47"/>
      <c r="D42" s="48"/>
      <c r="E42" s="15"/>
      <c r="F42" s="42"/>
      <c r="G42" s="42" t="str">
        <f>IFERROR((VLOOKUP($F42,Apoio!$O:$P,2,FALSE)),"")</f>
        <v/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49"/>
      <c r="B43" s="16"/>
      <c r="C43" s="47"/>
      <c r="D43" s="48"/>
      <c r="E43" s="15"/>
      <c r="F43" s="42"/>
      <c r="G43" s="42" t="str">
        <f>IFERROR((VLOOKUP($F43,Apoio!$O:$P,2,FALSE)),"")</f>
        <v/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49"/>
      <c r="B44" s="16"/>
      <c r="C44" s="47"/>
      <c r="D44" s="48"/>
      <c r="E44" s="15"/>
      <c r="F44" s="42"/>
      <c r="G44" s="42" t="str">
        <f>IFERROR((VLOOKUP($F44,Apoio!$O:$P,2,FALSE)),"")</f>
        <v/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9"/>
      <c r="B45" s="16"/>
      <c r="C45" s="47"/>
      <c r="D45" s="48"/>
      <c r="E45" s="15"/>
      <c r="F45" s="42"/>
      <c r="G45" s="42" t="str">
        <f>IFERROR((VLOOKUP($F45,Apoio!$O:$P,2,FALSE)),"")</f>
        <v/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9"/>
      <c r="B46" s="16"/>
      <c r="C46" s="47"/>
      <c r="D46" s="48"/>
      <c r="E46" s="15"/>
      <c r="F46" s="42"/>
      <c r="G46" s="42" t="str">
        <f>IFERROR((VLOOKUP($F46,Apoio!$O:$P,2,FALSE)),"")</f>
        <v/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9"/>
      <c r="B47" s="16"/>
      <c r="C47" s="47"/>
      <c r="D47" s="48"/>
      <c r="E47" s="15"/>
      <c r="F47" s="42"/>
      <c r="G47" s="42" t="str">
        <f>IFERROR((VLOOKUP($F47,Apoio!$O:$P,2,FALSE)),"")</f>
        <v/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9"/>
      <c r="B48" s="16"/>
      <c r="C48" s="47"/>
      <c r="D48" s="48"/>
      <c r="E48" s="15"/>
      <c r="F48" s="42"/>
      <c r="G48" s="42" t="str">
        <f>IFERROR((VLOOKUP($F48,Apoio!$O:$P,2,FALSE)),"")</f>
        <v/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9"/>
      <c r="B49" s="16"/>
      <c r="C49" s="47"/>
      <c r="D49" s="48"/>
      <c r="E49" s="15"/>
      <c r="F49" s="42"/>
      <c r="G49" s="42" t="str">
        <f>IFERROR((VLOOKUP($F49,Apoio!$O:$P,2,FALSE)),"")</f>
        <v/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9"/>
      <c r="B50" s="16"/>
      <c r="C50" s="47"/>
      <c r="D50" s="48"/>
      <c r="E50" s="15"/>
      <c r="F50" s="42"/>
      <c r="G50" s="42" t="str">
        <f>IFERROR((VLOOKUP($F50,Apoio!$O:$P,2,FALSE)),"")</f>
        <v/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9"/>
      <c r="B51" s="16"/>
      <c r="C51" s="47"/>
      <c r="D51" s="48"/>
      <c r="E51" s="15"/>
      <c r="F51" s="42"/>
      <c r="G51" s="42" t="str">
        <f>IFERROR((VLOOKUP($F51,Apoio!$O:$P,2,FALSE)),"")</f>
        <v/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9"/>
      <c r="B52" s="16"/>
      <c r="C52" s="47"/>
      <c r="D52" s="48"/>
      <c r="E52" s="15"/>
      <c r="F52" s="42"/>
      <c r="G52" s="42" t="str">
        <f>IFERROR((VLOOKUP($F52,Apoio!$O:$P,2,FALSE)),"")</f>
        <v/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9"/>
      <c r="B53" s="16"/>
      <c r="C53" s="47"/>
      <c r="D53" s="48"/>
      <c r="E53" s="15"/>
      <c r="F53" s="42"/>
      <c r="G53" s="42" t="str">
        <f>IFERROR((VLOOKUP($F53,Apoio!$O:$P,2,FALSE)),"")</f>
        <v/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 outlineLevel="1">
      <c r="A54" s="49"/>
      <c r="B54" s="16"/>
      <c r="C54" s="47"/>
      <c r="D54" s="48"/>
      <c r="E54" s="15"/>
      <c r="F54" s="42"/>
      <c r="G54" s="42" t="str">
        <f>IFERROR((VLOOKUP($F54,Apoio!$O:$P,2,FALSE)),"")</f>
        <v/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 outlineLevel="1">
      <c r="A55" s="49"/>
      <c r="B55" s="16"/>
      <c r="C55" s="54"/>
      <c r="D55" s="48"/>
      <c r="E55" s="15"/>
      <c r="F55" s="42"/>
      <c r="G55" s="42" t="str">
        <f>IFERROR((VLOOKUP($F55,Apoio!$O:$P,2,FALSE)),"")</f>
        <v/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 outlineLevel="1">
      <c r="A56" s="49"/>
      <c r="B56" s="16"/>
      <c r="C56" s="54"/>
      <c r="D56" s="48"/>
      <c r="E56" s="15"/>
      <c r="F56" s="42"/>
      <c r="G56" s="42" t="str">
        <f>IFERROR((VLOOKUP($F56,Apoio!$O:$P,2,FALSE)),"")</f>
        <v/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 outlineLevel="1">
      <c r="A57" s="49"/>
      <c r="B57" s="16"/>
      <c r="C57" s="54"/>
      <c r="D57" s="48"/>
      <c r="E57" s="15"/>
      <c r="F57" s="42"/>
      <c r="G57" s="42" t="str">
        <f>IFERROR((VLOOKUP($F57,Apoio!$O:$P,2,FALSE)),"")</f>
        <v/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 outlineLevel="1">
      <c r="A58" s="49"/>
      <c r="B58" s="16"/>
      <c r="C58" s="54"/>
      <c r="D58" s="48"/>
      <c r="E58" s="55"/>
      <c r="F58" s="42"/>
      <c r="G58" s="42" t="str">
        <f>IFERROR((VLOOKUP($F58,Apoio!$O:$P,2,FALSE)),"")</f>
        <v/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 outlineLevel="1">
      <c r="A59" s="49"/>
      <c r="B59" s="16"/>
      <c r="C59" s="54"/>
      <c r="D59" s="48"/>
      <c r="E59" s="15"/>
      <c r="F59" s="42"/>
      <c r="G59" s="42" t="str">
        <f>IFERROR((VLOOKUP($F59,Apoio!$O:$P,2,FALSE)),"")</f>
        <v/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 outlineLevel="1">
      <c r="A60" s="49"/>
      <c r="B60" s="16"/>
      <c r="C60" s="54"/>
      <c r="D60" s="48"/>
      <c r="E60" s="15"/>
      <c r="F60" s="42"/>
      <c r="G60" s="42" t="str">
        <f>IFERROR((VLOOKUP($F60,Apoio!$O:$P,2,FALSE)),"")</f>
        <v/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 outlineLevel="1">
      <c r="A61" s="49"/>
      <c r="B61" s="16"/>
      <c r="C61" s="54"/>
      <c r="D61" s="48"/>
      <c r="E61" s="15"/>
      <c r="F61" s="42"/>
      <c r="G61" s="42" t="str">
        <f>IFERROR((VLOOKUP($F61,Apoio!$O:$P,2,FALSE)),"")</f>
        <v/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 outlineLevel="1">
      <c r="A62" s="49"/>
      <c r="B62" s="16"/>
      <c r="C62" s="54"/>
      <c r="D62" s="48"/>
      <c r="E62" s="15"/>
      <c r="F62" s="42"/>
      <c r="G62" s="42" t="str">
        <f>IFERROR((VLOOKUP($F62,Apoio!$O:$P,2,FALSE)),"")</f>
        <v/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 outlineLevel="1">
      <c r="A63" s="49"/>
      <c r="B63" s="16"/>
      <c r="C63" s="54"/>
      <c r="D63" s="48"/>
      <c r="E63" s="15"/>
      <c r="F63" s="42"/>
      <c r="G63" s="42" t="str">
        <f>IFERROR((VLOOKUP($F63,Apoio!$O:$P,2,FALSE)),"")</f>
        <v/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 outlineLevel="1">
      <c r="A64" s="49"/>
      <c r="B64" s="16"/>
      <c r="C64" s="54"/>
      <c r="D64" s="48"/>
      <c r="E64" s="15"/>
      <c r="F64" s="42"/>
      <c r="G64" s="42" t="str">
        <f>IFERROR((VLOOKUP($F64,Apoio!$O:$P,2,FALSE)),"")</f>
        <v/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 outlineLevel="1">
      <c r="A65" s="49"/>
      <c r="B65" s="16"/>
      <c r="C65" s="54"/>
      <c r="D65" s="48"/>
      <c r="E65" s="15"/>
      <c r="F65" s="42"/>
      <c r="G65" s="42" t="str">
        <f>IFERROR((VLOOKUP($F65,Apoio!$O:$P,2,FALSE)),"")</f>
        <v/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 outlineLevel="1">
      <c r="A66" s="49"/>
      <c r="B66" s="16"/>
      <c r="C66" s="54"/>
      <c r="D66" s="48"/>
      <c r="E66" s="15"/>
      <c r="F66" s="42"/>
      <c r="G66" s="42" t="str">
        <f>IFERROR((VLOOKUP($F66,Apoio!$O:$P,2,FALSE)),"")</f>
        <v/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 outlineLevel="1">
      <c r="A67" s="49"/>
      <c r="B67" s="16"/>
      <c r="C67" s="54"/>
      <c r="D67" s="48"/>
      <c r="E67" s="15"/>
      <c r="F67" s="42"/>
      <c r="G67" s="42" t="str">
        <f>IFERROR((VLOOKUP($F67,Apoio!$O:$P,2,FALSE)),"")</f>
        <v/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 outlineLevel="1">
      <c r="A68" s="49"/>
      <c r="B68" s="16"/>
      <c r="C68" s="54"/>
      <c r="D68" s="48"/>
      <c r="E68" s="15"/>
      <c r="F68" s="42"/>
      <c r="G68" s="42" t="str">
        <f>IFERROR((VLOOKUP($F68,Apoio!$O:$P,2,FALSE)),"")</f>
        <v/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 outlineLevel="1">
      <c r="A69" s="49"/>
      <c r="B69" s="16"/>
      <c r="C69" s="54"/>
      <c r="D69" s="48"/>
      <c r="E69" s="15"/>
      <c r="F69" s="42"/>
      <c r="G69" s="42" t="str">
        <f>IFERROR((VLOOKUP($F69,Apoio!$O:$P,2,FALSE)),"")</f>
        <v/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 outlineLevel="1">
      <c r="A70" s="49"/>
      <c r="B70" s="16"/>
      <c r="C70" s="54"/>
      <c r="D70" s="48"/>
      <c r="E70" s="15"/>
      <c r="F70" s="42"/>
      <c r="G70" s="42" t="str">
        <f>IFERROR((VLOOKUP($F70,Apoio!$O:$P,2,FALSE)),"")</f>
        <v/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 outlineLevel="1">
      <c r="A71" s="49"/>
      <c r="B71" s="16"/>
      <c r="C71" s="54"/>
      <c r="D71" s="48"/>
      <c r="E71" s="15"/>
      <c r="F71" s="42"/>
      <c r="G71" s="42" t="str">
        <f>IFERROR((VLOOKUP($F71,Apoio!$O:$P,2,FALSE)),"")</f>
        <v/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 outlineLevel="1">
      <c r="A72" s="49"/>
      <c r="B72" s="16"/>
      <c r="C72" s="54"/>
      <c r="D72" s="48"/>
      <c r="E72" s="15"/>
      <c r="F72" s="42"/>
      <c r="G72" s="42" t="str">
        <f>IFERROR((VLOOKUP($F72,Apoio!$O:$P,2,FALSE)),"")</f>
        <v/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 outlineLevel="1">
      <c r="A73" s="49"/>
      <c r="B73" s="16"/>
      <c r="C73" s="54"/>
      <c r="D73" s="48"/>
      <c r="E73" s="15"/>
      <c r="F73" s="42"/>
      <c r="G73" s="42" t="str">
        <f>IFERROR((VLOOKUP($F73,Apoio!$O:$P,2,FALSE)),"")</f>
        <v/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 outlineLevel="1">
      <c r="A74" s="49"/>
      <c r="B74" s="16"/>
      <c r="C74" s="54"/>
      <c r="D74" s="48"/>
      <c r="E74" s="15"/>
      <c r="F74" s="42"/>
      <c r="G74" s="42" t="str">
        <f>IFERROR((VLOOKUP($F74,Apoio!$O:$P,2,FALSE)),"")</f>
        <v/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 outlineLevel="1">
      <c r="A75" s="49"/>
      <c r="B75" s="16"/>
      <c r="C75" s="54"/>
      <c r="D75" s="48"/>
      <c r="E75" s="15"/>
      <c r="F75" s="42"/>
      <c r="G75" s="42" t="str">
        <f>IFERROR((VLOOKUP($F75,Apoio!$O:$P,2,FALSE)),"")</f>
        <v/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 outlineLevel="1">
      <c r="A76" s="49"/>
      <c r="B76" s="16"/>
      <c r="C76" s="54"/>
      <c r="D76" s="48"/>
      <c r="E76" s="15"/>
      <c r="F76" s="42"/>
      <c r="G76" s="42" t="str">
        <f>IFERROR((VLOOKUP($F76,Apoio!$O:$P,2,FALSE)),"")</f>
        <v/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 outlineLevel="1">
      <c r="A77" s="49"/>
      <c r="B77" s="16"/>
      <c r="C77" s="54"/>
      <c r="D77" s="48"/>
      <c r="E77" s="15"/>
      <c r="F77" s="42"/>
      <c r="G77" s="42" t="str">
        <f>IFERROR((VLOOKUP($F77,Apoio!$O:$P,2,FALSE)),"")</f>
        <v/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 outlineLevel="1">
      <c r="A78" s="49"/>
      <c r="B78" s="16"/>
      <c r="C78" s="54"/>
      <c r="D78" s="48"/>
      <c r="E78" s="15"/>
      <c r="F78" s="42"/>
      <c r="G78" s="42" t="str">
        <f>IFERROR((VLOOKUP($F78,Apoio!$O:$P,2,FALSE)),"")</f>
        <v/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 outlineLevel="1">
      <c r="A79" s="49"/>
      <c r="B79" s="16"/>
      <c r="C79" s="54"/>
      <c r="D79" s="48"/>
      <c r="E79" s="15"/>
      <c r="F79" s="42"/>
      <c r="G79" s="42" t="str">
        <f>IFERROR((VLOOKUP($F79,Apoio!$O:$P,2,FALSE)),"")</f>
        <v/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 outlineLevel="1">
      <c r="A80" s="49"/>
      <c r="B80" s="16"/>
      <c r="C80" s="54"/>
      <c r="D80" s="48"/>
      <c r="E80" s="15"/>
      <c r="F80" s="42"/>
      <c r="G80" s="42" t="str">
        <f>IFERROR((VLOOKUP($F80,Apoio!$O:$P,2,FALSE)),"")</f>
        <v/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 outlineLevel="1">
      <c r="A81" s="49"/>
      <c r="B81" s="16"/>
      <c r="C81" s="54"/>
      <c r="D81" s="48"/>
      <c r="E81" s="15"/>
      <c r="F81" s="42"/>
      <c r="G81" s="42" t="str">
        <f>IFERROR((VLOOKUP($F81,Apoio!$O:$P,2,FALSE)),"")</f>
        <v/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 outlineLevel="1">
      <c r="A82" s="49"/>
      <c r="B82" s="16"/>
      <c r="C82" s="54"/>
      <c r="D82" s="48"/>
      <c r="E82" s="15"/>
      <c r="F82" s="42"/>
      <c r="G82" s="42" t="str">
        <f>IFERROR((VLOOKUP($F82,Apoio!$O:$P,2,FALSE)),"")</f>
        <v/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 outlineLevel="1">
      <c r="A83" s="49"/>
      <c r="B83" s="16"/>
      <c r="C83" s="54"/>
      <c r="D83" s="48"/>
      <c r="E83" s="15"/>
      <c r="F83" s="42"/>
      <c r="G83" s="42" t="str">
        <f>IFERROR((VLOOKUP($F83,Apoio!$O:$P,2,FALSE)),"")</f>
        <v/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 outlineLevel="1">
      <c r="A84" s="49"/>
      <c r="B84" s="16"/>
      <c r="C84" s="54"/>
      <c r="D84" s="48"/>
      <c r="E84" s="15"/>
      <c r="F84" s="42"/>
      <c r="G84" s="42" t="str">
        <f>IFERROR((VLOOKUP($F84,Apoio!$O:$P,2,FALSE)),"")</f>
        <v/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 outlineLevel="1">
      <c r="A85" s="49"/>
      <c r="B85" s="16"/>
      <c r="C85" s="54"/>
      <c r="D85" s="48"/>
      <c r="E85" s="15"/>
      <c r="F85" s="42"/>
      <c r="G85" s="42" t="str">
        <f>IFERROR((VLOOKUP($F85,Apoio!$O:$P,2,FALSE)),"")</f>
        <v/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 outlineLevel="1">
      <c r="A86" s="49"/>
      <c r="B86" s="16"/>
      <c r="C86" s="54"/>
      <c r="D86" s="48"/>
      <c r="E86" s="15"/>
      <c r="F86" s="42"/>
      <c r="G86" s="42" t="str">
        <f>IFERROR((VLOOKUP($F86,Apoio!$O:$P,2,FALSE)),"")</f>
        <v/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 outlineLevel="1">
      <c r="A87" s="49"/>
      <c r="B87" s="16"/>
      <c r="C87" s="54"/>
      <c r="D87" s="48"/>
      <c r="E87" s="15"/>
      <c r="F87" s="42"/>
      <c r="G87" s="42" t="str">
        <f>IFERROR((VLOOKUP($F87,Apoio!$O:$P,2,FALSE)),"")</f>
        <v/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 outlineLevel="1">
      <c r="A88" s="49"/>
      <c r="B88" s="16"/>
      <c r="C88" s="54"/>
      <c r="D88" s="48"/>
      <c r="E88" s="15"/>
      <c r="F88" s="42"/>
      <c r="G88" s="42" t="str">
        <f>IFERROR((VLOOKUP($F88,Apoio!$O:$P,2,FALSE)),"")</f>
        <v/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 outlineLevel="1">
      <c r="A89" s="49"/>
      <c r="B89" s="16"/>
      <c r="C89" s="54"/>
      <c r="D89" s="48"/>
      <c r="E89" s="15"/>
      <c r="F89" s="42"/>
      <c r="G89" s="42" t="str">
        <f>IFERROR((VLOOKUP($F89,Apoio!$O:$P,2,FALSE)),"")</f>
        <v/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 outlineLevel="1">
      <c r="A90" s="49"/>
      <c r="B90" s="16"/>
      <c r="C90" s="54"/>
      <c r="D90" s="48"/>
      <c r="E90" s="15"/>
      <c r="F90" s="42"/>
      <c r="G90" s="42" t="str">
        <f>IFERROR((VLOOKUP($F90,Apoio!$O:$P,2,FALSE)),"")</f>
        <v/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 outlineLevel="1">
      <c r="A91" s="49"/>
      <c r="B91" s="16"/>
      <c r="C91" s="54"/>
      <c r="D91" s="48"/>
      <c r="E91" s="15"/>
      <c r="F91" s="42"/>
      <c r="G91" s="42" t="str">
        <f>IFERROR((VLOOKUP($F91,Apoio!$O:$P,2,FALSE)),"")</f>
        <v/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 outlineLevel="1">
      <c r="A92" s="49"/>
      <c r="B92" s="16"/>
      <c r="C92" s="54"/>
      <c r="D92" s="48"/>
      <c r="E92" s="15"/>
      <c r="F92" s="42"/>
      <c r="G92" s="42" t="str">
        <f>IFERROR((VLOOKUP($F92,Apoio!$O:$P,2,FALSE)),"")</f>
        <v/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 outlineLevel="1">
      <c r="A93" s="49"/>
      <c r="B93" s="16"/>
      <c r="C93" s="54"/>
      <c r="D93" s="48"/>
      <c r="E93" s="15"/>
      <c r="F93" s="42"/>
      <c r="G93" s="42" t="str">
        <f>IFERROR((VLOOKUP($F93,Apoio!$O:$P,2,FALSE)),"")</f>
        <v/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 outlineLevel="1">
      <c r="A94" s="49"/>
      <c r="B94" s="16"/>
      <c r="C94" s="54"/>
      <c r="D94" s="48"/>
      <c r="E94" s="15"/>
      <c r="F94" s="42"/>
      <c r="G94" s="42" t="str">
        <f>IFERROR((VLOOKUP($F94,Apoio!$O:$P,2,FALSE)),"")</f>
        <v/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 outlineLevel="1">
      <c r="A95" s="49"/>
      <c r="B95" s="16"/>
      <c r="C95" s="54"/>
      <c r="D95" s="48"/>
      <c r="E95" s="15"/>
      <c r="F95" s="42"/>
      <c r="G95" s="42" t="str">
        <f>IFERROR((VLOOKUP($F95,Apoio!$O:$P,2,FALSE)),"")</f>
        <v/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 outlineLevel="1">
      <c r="A96" s="49"/>
      <c r="B96" s="16"/>
      <c r="C96" s="54"/>
      <c r="D96" s="48"/>
      <c r="E96" s="15"/>
      <c r="F96" s="56"/>
      <c r="G96" s="42" t="str">
        <f>IFERROR((VLOOKUP($F96,Apoio!$O:$P,2,FALSE)),"")</f>
        <v/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 outlineLevel="1">
      <c r="A97" s="49"/>
      <c r="B97" s="16"/>
      <c r="C97" s="54"/>
      <c r="D97" s="48"/>
      <c r="E97" s="15"/>
      <c r="F97" s="57"/>
      <c r="G97" s="42" t="str">
        <f>IFERROR((VLOOKUP($F97,Apoio!$O:$P,2,FALSE)),"")</f>
        <v/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 outlineLevel="1">
      <c r="A98" s="49"/>
      <c r="B98" s="16"/>
      <c r="C98" s="54"/>
      <c r="D98" s="48"/>
      <c r="E98" s="15"/>
      <c r="F98" s="57"/>
      <c r="G98" s="42" t="str">
        <f>IFERROR((VLOOKUP($F98,Apoio!$O:$P,2,FALSE)),"")</f>
        <v/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 outlineLevel="1">
      <c r="A99" s="49"/>
      <c r="B99" s="16"/>
      <c r="C99" s="54"/>
      <c r="D99" s="48"/>
      <c r="E99" s="15"/>
      <c r="F99" s="57"/>
      <c r="G99" s="42" t="str">
        <f>IFERROR((VLOOKUP($F99,Apoio!$O:$P,2,FALSE)),"")</f>
        <v/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 outlineLevel="1">
      <c r="A100" s="49"/>
      <c r="B100" s="16"/>
      <c r="C100" s="54"/>
      <c r="D100" s="48"/>
      <c r="E100" s="15"/>
      <c r="F100" s="57"/>
      <c r="G100" s="42" t="str">
        <f>IFERROR((VLOOKUP($F100,Apoio!$O:$P,2,FALSE)),"")</f>
        <v/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 outlineLevel="1">
      <c r="A101" s="49"/>
      <c r="B101" s="16"/>
      <c r="C101" s="54"/>
      <c r="D101" s="48"/>
      <c r="E101" s="15"/>
      <c r="F101" s="57"/>
      <c r="G101" s="42" t="str">
        <f>IFERROR((VLOOKUP($F101,Apoio!$O:$P,2,FALSE)),"")</f>
        <v/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 outlineLevel="1">
      <c r="A102" s="49"/>
      <c r="B102" s="16"/>
      <c r="C102" s="54"/>
      <c r="D102" s="48"/>
      <c r="E102" s="15"/>
      <c r="F102" s="57"/>
      <c r="G102" s="42" t="str">
        <f>IFERROR((VLOOKUP($F102,Apoio!$O:$P,2,FALSE)),"")</f>
        <v/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 outlineLevel="1">
      <c r="A103" s="49"/>
      <c r="B103" s="16"/>
      <c r="C103" s="54"/>
      <c r="D103" s="48"/>
      <c r="E103" s="15"/>
      <c r="F103" s="57"/>
      <c r="G103" s="42" t="str">
        <f>IFERROR((VLOOKUP($F103,Apoio!$O:$P,2,FALSE)),"")</f>
        <v/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 outlineLevel="1">
      <c r="A104" s="49"/>
      <c r="B104" s="16"/>
      <c r="C104" s="54"/>
      <c r="D104" s="48"/>
      <c r="E104" s="15"/>
      <c r="F104" s="57"/>
      <c r="G104" s="42" t="str">
        <f>IFERROR((VLOOKUP($F104,Apoio!$O:$P,2,FALSE)),"")</f>
        <v/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 outlineLevel="1">
      <c r="A105" s="49"/>
      <c r="B105" s="16"/>
      <c r="C105" s="54"/>
      <c r="D105" s="48"/>
      <c r="E105" s="15"/>
      <c r="F105" s="57"/>
      <c r="G105" s="42" t="str">
        <f>IFERROR((VLOOKUP($F105,Apoio!$O:$P,2,FALSE)),"")</f>
        <v/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 outlineLevel="1">
      <c r="A106" s="49"/>
      <c r="B106" s="16"/>
      <c r="C106" s="54"/>
      <c r="D106" s="48"/>
      <c r="E106" s="15"/>
      <c r="F106" s="57"/>
      <c r="G106" s="42" t="str">
        <f>IFERROR((VLOOKUP($F106,Apoio!$O:$P,2,FALSE)),"")</f>
        <v/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 outlineLevel="1">
      <c r="A107" s="49"/>
      <c r="B107" s="16"/>
      <c r="C107" s="54"/>
      <c r="D107" s="48"/>
      <c r="E107" s="15"/>
      <c r="F107" s="57"/>
      <c r="G107" s="42" t="str">
        <f>IFERROR((VLOOKUP($F107,Apoio!$O:$P,2,FALSE)),"")</f>
        <v/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 outlineLevel="1">
      <c r="A108" s="49"/>
      <c r="B108" s="16"/>
      <c r="C108" s="54"/>
      <c r="D108" s="48"/>
      <c r="E108" s="15"/>
      <c r="F108" s="57"/>
      <c r="G108" s="42" t="str">
        <f>IFERROR((VLOOKUP($F108,Apoio!$O:$P,2,FALSE)),"")</f>
        <v/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 outlineLevel="1">
      <c r="A109" s="49"/>
      <c r="B109" s="16"/>
      <c r="C109" s="54"/>
      <c r="D109" s="48"/>
      <c r="E109" s="15"/>
      <c r="F109" s="57"/>
      <c r="G109" s="42" t="str">
        <f>IFERROR((VLOOKUP($F109,Apoio!$O:$P,2,FALSE)),"")</f>
        <v/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 outlineLevel="1">
      <c r="A110" s="49"/>
      <c r="B110" s="16"/>
      <c r="C110" s="54"/>
      <c r="D110" s="48"/>
      <c r="E110" s="15"/>
      <c r="F110" s="57"/>
      <c r="G110" s="42" t="str">
        <f>IFERROR((VLOOKUP($F110,Apoio!$O:$P,2,FALSE)),"")</f>
        <v/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 outlineLevel="1">
      <c r="A111" s="49"/>
      <c r="B111" s="16"/>
      <c r="C111" s="54"/>
      <c r="D111" s="48"/>
      <c r="E111" s="15"/>
      <c r="F111" s="57"/>
      <c r="G111" s="42" t="str">
        <f>IFERROR((VLOOKUP($F111,Apoio!$O:$P,2,FALSE)),"")</f>
        <v/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 outlineLevel="1">
      <c r="A112" s="49"/>
      <c r="B112" s="16"/>
      <c r="C112" s="54"/>
      <c r="D112" s="48"/>
      <c r="E112" s="15"/>
      <c r="F112" s="57"/>
      <c r="G112" s="42" t="str">
        <f>IFERROR((VLOOKUP($F112,Apoio!$O:$P,2,FALSE)),"")</f>
        <v/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 outlineLevel="1">
      <c r="A113" s="49"/>
      <c r="B113" s="16"/>
      <c r="C113" s="54"/>
      <c r="D113" s="48"/>
      <c r="E113" s="15"/>
      <c r="F113" s="57"/>
      <c r="G113" s="42" t="str">
        <f>IFERROR((VLOOKUP($F113,Apoio!$O:$P,2,FALSE)),"")</f>
        <v/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 outlineLevel="1">
      <c r="A114" s="49"/>
      <c r="B114" s="16"/>
      <c r="C114" s="54"/>
      <c r="D114" s="48"/>
      <c r="E114" s="15"/>
      <c r="F114" s="57"/>
      <c r="G114" s="42" t="str">
        <f>IFERROR((VLOOKUP($F114,Apoio!$O:$P,2,FALSE)),"")</f>
        <v/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 outlineLevel="1">
      <c r="A115" s="49"/>
      <c r="B115" s="16"/>
      <c r="C115" s="54"/>
      <c r="D115" s="48"/>
      <c r="E115" s="15"/>
      <c r="F115" s="57"/>
      <c r="G115" s="42" t="str">
        <f>IFERROR((VLOOKUP($F115,Apoio!$O:$P,2,FALSE)),"")</f>
        <v/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 outlineLevel="1">
      <c r="A116" s="49"/>
      <c r="B116" s="16"/>
      <c r="C116" s="54"/>
      <c r="D116" s="48"/>
      <c r="E116" s="15"/>
      <c r="F116" s="57"/>
      <c r="G116" s="42" t="str">
        <f>IFERROR((VLOOKUP($F116,Apoio!$O:$P,2,FALSE)),"")</f>
        <v/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 outlineLevel="1">
      <c r="A117" s="49"/>
      <c r="B117" s="16"/>
      <c r="C117" s="54"/>
      <c r="D117" s="48"/>
      <c r="E117" s="15"/>
      <c r="F117" s="57"/>
      <c r="G117" s="42" t="str">
        <f>IFERROR((VLOOKUP($F117,Apoio!$O:$P,2,FALSE)),"")</f>
        <v/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 outlineLevel="1">
      <c r="A118" s="49"/>
      <c r="B118" s="16"/>
      <c r="C118" s="54"/>
      <c r="D118" s="48"/>
      <c r="E118" s="15"/>
      <c r="F118" s="57"/>
      <c r="G118" s="42" t="str">
        <f>IFERROR((VLOOKUP($F118,Apoio!$O:$P,2,FALSE)),"")</f>
        <v/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 outlineLevel="1">
      <c r="A119" s="49"/>
      <c r="B119" s="16"/>
      <c r="C119" s="54"/>
      <c r="D119" s="48"/>
      <c r="E119" s="15"/>
      <c r="F119" s="57"/>
      <c r="G119" s="42" t="str">
        <f>IFERROR((VLOOKUP($F119,Apoio!$O:$P,2,FALSE)),"")</f>
        <v/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 outlineLevel="1">
      <c r="A120" s="49"/>
      <c r="B120" s="16"/>
      <c r="C120" s="54"/>
      <c r="D120" s="48"/>
      <c r="E120" s="15"/>
      <c r="F120" s="57"/>
      <c r="G120" s="42" t="str">
        <f>IFERROR((VLOOKUP($F120,Apoio!$O:$P,2,FALSE)),"")</f>
        <v/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 outlineLevel="1">
      <c r="A121" s="49"/>
      <c r="B121" s="16"/>
      <c r="C121" s="54"/>
      <c r="D121" s="48"/>
      <c r="E121" s="15"/>
      <c r="F121" s="57"/>
      <c r="G121" s="42" t="str">
        <f>IFERROR((VLOOKUP($F121,Apoio!$O:$P,2,FALSE)),"")</f>
        <v/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 outlineLevel="1">
      <c r="A122" s="49"/>
      <c r="B122" s="16"/>
      <c r="C122" s="54"/>
      <c r="D122" s="48"/>
      <c r="E122" s="15"/>
      <c r="F122" s="57"/>
      <c r="G122" s="42" t="str">
        <f>IFERROR((VLOOKUP($F122,Apoio!$O:$P,2,FALSE)),"")</f>
        <v/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 outlineLevel="1">
      <c r="A123" s="49"/>
      <c r="B123" s="16"/>
      <c r="C123" s="54"/>
      <c r="D123" s="48"/>
      <c r="E123" s="15"/>
      <c r="F123" s="58"/>
      <c r="G123" s="42" t="str">
        <f>IFERROR((VLOOKUP($F123,Apoio!$O:$P,2,FALSE)),"")</f>
        <v/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 outlineLevel="1">
      <c r="A124" s="49"/>
      <c r="B124" s="16"/>
      <c r="C124" s="54"/>
      <c r="D124" s="48"/>
      <c r="E124" s="15"/>
      <c r="F124" s="58"/>
      <c r="G124" s="42" t="str">
        <f>IFERROR((VLOOKUP($F124,Apoio!$O:$P,2,FALSE)),"")</f>
        <v/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 outlineLevel="1">
      <c r="A125" s="49"/>
      <c r="B125" s="16"/>
      <c r="C125" s="54"/>
      <c r="D125" s="48"/>
      <c r="E125" s="15"/>
      <c r="F125" s="58"/>
      <c r="G125" s="42" t="str">
        <f>IFERROR((VLOOKUP($F125,Apoio!$O:$P,2,FALSE)),"")</f>
        <v/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 outlineLevel="1">
      <c r="A126" s="49"/>
      <c r="B126" s="16"/>
      <c r="C126" s="54"/>
      <c r="D126" s="48"/>
      <c r="E126" s="15"/>
      <c r="F126" s="58"/>
      <c r="G126" s="42" t="str">
        <f>IFERROR((VLOOKUP($F126,Apoio!$O:$P,2,FALSE)),"")</f>
        <v/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 outlineLevel="1">
      <c r="A127" s="49"/>
      <c r="B127" s="16"/>
      <c r="C127" s="54"/>
      <c r="D127" s="48"/>
      <c r="E127" s="15"/>
      <c r="F127" s="58"/>
      <c r="G127" s="42" t="str">
        <f>IFERROR((VLOOKUP($F127,Apoio!$O:$P,2,FALSE)),"")</f>
        <v/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 outlineLevel="1">
      <c r="A128" s="49"/>
      <c r="B128" s="16"/>
      <c r="C128" s="54"/>
      <c r="D128" s="48"/>
      <c r="E128" s="15"/>
      <c r="F128" s="58"/>
      <c r="G128" s="42" t="str">
        <f>IFERROR((VLOOKUP($F128,Apoio!$O:$P,2,FALSE)),"")</f>
        <v/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 outlineLevel="1">
      <c r="A129" s="49"/>
      <c r="B129" s="16"/>
      <c r="C129" s="54"/>
      <c r="D129" s="48"/>
      <c r="E129" s="15"/>
      <c r="F129" s="58"/>
      <c r="G129" s="42" t="str">
        <f>IFERROR((VLOOKUP($F129,Apoio!$O:$P,2,FALSE)),"")</f>
        <v/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 outlineLevel="1">
      <c r="A130" s="49"/>
      <c r="B130" s="16"/>
      <c r="C130" s="54"/>
      <c r="D130" s="48"/>
      <c r="E130" s="15"/>
      <c r="F130" s="58"/>
      <c r="G130" s="42" t="str">
        <f>IFERROR((VLOOKUP($F130,Apoio!$O:$P,2,FALSE)),"")</f>
        <v/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 outlineLevel="1">
      <c r="A131" s="49"/>
      <c r="B131" s="16"/>
      <c r="C131" s="54"/>
      <c r="D131" s="48"/>
      <c r="E131" s="15"/>
      <c r="F131" s="58"/>
      <c r="G131" s="42" t="str">
        <f>IFERROR((VLOOKUP($F131,Apoio!$O:$P,2,FALSE)),"")</f>
        <v/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 outlineLevel="1">
      <c r="A132" s="49"/>
      <c r="B132" s="16"/>
      <c r="C132" s="54"/>
      <c r="D132" s="48"/>
      <c r="E132" s="15"/>
      <c r="F132" s="58"/>
      <c r="G132" s="42" t="str">
        <f>IFERROR((VLOOKUP($F132,Apoio!$O:$P,2,FALSE)),"")</f>
        <v/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 outlineLevel="1">
      <c r="A133" s="49"/>
      <c r="B133" s="16"/>
      <c r="C133" s="54"/>
      <c r="D133" s="48"/>
      <c r="E133" s="15"/>
      <c r="F133" s="58"/>
      <c r="G133" s="42" t="str">
        <f>IFERROR((VLOOKUP($F133,Apoio!$O:$P,2,FALSE)),"")</f>
        <v/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 outlineLevel="1">
      <c r="A134" s="49"/>
      <c r="B134" s="16"/>
      <c r="C134" s="54"/>
      <c r="D134" s="48"/>
      <c r="E134" s="15"/>
      <c r="F134" s="58"/>
      <c r="G134" s="42" t="str">
        <f>IFERROR((VLOOKUP($F134,Apoio!$O:$P,2,FALSE)),"")</f>
        <v/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 outlineLevel="1">
      <c r="A135" s="49"/>
      <c r="B135" s="16"/>
      <c r="C135" s="54"/>
      <c r="D135" s="48"/>
      <c r="E135" s="15"/>
      <c r="F135" s="58"/>
      <c r="G135" s="42" t="str">
        <f>IFERROR((VLOOKUP($F135,Apoio!$O:$P,2,FALSE)),"")</f>
        <v/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 outlineLevel="1">
      <c r="A136" s="49"/>
      <c r="B136" s="16"/>
      <c r="C136" s="54"/>
      <c r="D136" s="48"/>
      <c r="E136" s="15"/>
      <c r="F136" s="58"/>
      <c r="G136" s="42" t="str">
        <f>IFERROR((VLOOKUP($F136,Apoio!$O:$P,2,FALSE)),"")</f>
        <v/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 outlineLevel="1">
      <c r="A137" s="49"/>
      <c r="B137" s="16"/>
      <c r="C137" s="54"/>
      <c r="D137" s="48"/>
      <c r="E137" s="15"/>
      <c r="F137" s="58"/>
      <c r="G137" s="42" t="str">
        <f>IFERROR((VLOOKUP($F137,Apoio!$O:$P,2,FALSE)),"")</f>
        <v/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 outlineLevel="1">
      <c r="A138" s="49"/>
      <c r="B138" s="16"/>
      <c r="C138" s="54"/>
      <c r="D138" s="48"/>
      <c r="E138" s="15"/>
      <c r="F138" s="59"/>
      <c r="G138" s="42" t="str">
        <f>IFERROR((VLOOKUP($F138,Apoio!$O:$P,2,FALSE)),"")</f>
        <v/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60" t="s">
        <v>22</v>
      </c>
      <c r="B139" s="61"/>
      <c r="C139" s="61"/>
      <c r="D139" s="61"/>
      <c r="E139" s="61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62"/>
      <c r="B140" s="63"/>
      <c r="C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64" t="s">
        <v>23</v>
      </c>
      <c r="B141" s="65" t="s">
        <v>16</v>
      </c>
      <c r="C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66" t="s">
        <v>24</v>
      </c>
      <c r="B142" s="67" t="s">
        <v>21</v>
      </c>
      <c r="C142" s="4"/>
      <c r="D142" s="6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69" t="s">
        <v>25</v>
      </c>
      <c r="B143" s="67" t="s">
        <v>26</v>
      </c>
      <c r="C143" s="4"/>
      <c r="D143" s="6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69" t="s">
        <v>27</v>
      </c>
      <c r="B144" s="67" t="s">
        <v>28</v>
      </c>
      <c r="C144" s="70"/>
      <c r="D144" s="6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69" t="s">
        <v>29</v>
      </c>
      <c r="B145" s="67" t="s">
        <v>30</v>
      </c>
      <c r="C145" s="70"/>
      <c r="D145" s="6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69" t="s">
        <v>31</v>
      </c>
      <c r="B146" s="71" t="s">
        <v>32</v>
      </c>
      <c r="C146" s="70"/>
      <c r="D146" s="6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69" t="s">
        <v>33</v>
      </c>
      <c r="B147" s="67" t="s">
        <v>34</v>
      </c>
      <c r="C147" s="70"/>
      <c r="D147" s="6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69" t="s">
        <v>35</v>
      </c>
      <c r="B148" s="67" t="s">
        <v>36</v>
      </c>
      <c r="C148" s="72"/>
      <c r="D148" s="6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69" t="s">
        <v>37</v>
      </c>
      <c r="B149" s="67" t="s">
        <v>38</v>
      </c>
      <c r="C149" s="46"/>
      <c r="D149" s="6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69" t="s">
        <v>39</v>
      </c>
      <c r="B150" s="67" t="s">
        <v>40</v>
      </c>
      <c r="C150" s="46"/>
      <c r="D150" s="6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69" t="s">
        <v>41</v>
      </c>
      <c r="B151" s="67" t="s">
        <v>42</v>
      </c>
      <c r="C151" s="70"/>
      <c r="D151" s="6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69" t="s">
        <v>43</v>
      </c>
      <c r="B152" s="67" t="s">
        <v>44</v>
      </c>
      <c r="C152" s="70"/>
      <c r="D152" s="6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69" t="s">
        <v>45</v>
      </c>
      <c r="B153" s="67" t="s">
        <v>46</v>
      </c>
      <c r="C153" s="70"/>
      <c r="D153" s="6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7.0" customHeight="1">
      <c r="A154" s="73" t="s">
        <v>47</v>
      </c>
      <c r="B154" s="67" t="s">
        <v>48</v>
      </c>
      <c r="C154" s="72"/>
      <c r="D154" s="6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7.0" customHeight="1">
      <c r="A155" s="73" t="s">
        <v>49</v>
      </c>
      <c r="B155" s="67" t="s">
        <v>50</v>
      </c>
      <c r="C155" s="72"/>
      <c r="D155" s="6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73" t="s">
        <v>51</v>
      </c>
      <c r="B156" s="67" t="s">
        <v>52</v>
      </c>
      <c r="C156" s="46"/>
      <c r="D156" s="6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69" t="s">
        <v>53</v>
      </c>
      <c r="B157" s="67" t="s">
        <v>54</v>
      </c>
      <c r="C157" s="46"/>
      <c r="D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69" t="s">
        <v>55</v>
      </c>
      <c r="B158" s="67" t="s">
        <v>56</v>
      </c>
      <c r="C158" s="4"/>
      <c r="D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74" t="s">
        <v>57</v>
      </c>
      <c r="B159" s="71" t="s">
        <v>58</v>
      </c>
      <c r="C159" s="4"/>
      <c r="D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74" t="s">
        <v>59</v>
      </c>
      <c r="B160" s="71" t="s">
        <v>60</v>
      </c>
      <c r="C160" s="4"/>
      <c r="D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75" t="s">
        <v>61</v>
      </c>
      <c r="B161" s="76">
        <v>45358.0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5"/>
      <c r="B162" s="16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5"/>
      <c r="B163" s="16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5"/>
      <c r="B164" s="16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5"/>
      <c r="B165" s="16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5"/>
      <c r="B166" s="16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5"/>
      <c r="B167" s="16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5"/>
      <c r="B168" s="16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5"/>
      <c r="B169" s="16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5"/>
      <c r="B170" s="16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5"/>
      <c r="B171" s="16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5"/>
      <c r="B172" s="16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5"/>
      <c r="B173" s="16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5"/>
      <c r="B174" s="16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5"/>
      <c r="B175" s="16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5"/>
      <c r="B176" s="16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5"/>
      <c r="B177" s="16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5"/>
      <c r="B178" s="16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5"/>
      <c r="B179" s="16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5"/>
      <c r="B180" s="16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5"/>
      <c r="B181" s="16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5"/>
      <c r="B182" s="16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5"/>
      <c r="B183" s="16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5"/>
      <c r="B184" s="16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5"/>
      <c r="B185" s="16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5"/>
      <c r="B186" s="16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5"/>
      <c r="B187" s="16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5"/>
      <c r="B188" s="16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5"/>
      <c r="B189" s="16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5"/>
      <c r="B190" s="16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5"/>
      <c r="B191" s="16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5"/>
      <c r="B192" s="16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5"/>
      <c r="B193" s="16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5"/>
      <c r="B194" s="16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5"/>
      <c r="B195" s="16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5"/>
      <c r="B196" s="16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5"/>
      <c r="B197" s="16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5"/>
      <c r="B198" s="16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5"/>
      <c r="B199" s="16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5"/>
      <c r="B200" s="16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5"/>
      <c r="B201" s="16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5"/>
      <c r="B202" s="16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5"/>
      <c r="B203" s="16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5"/>
      <c r="B204" s="16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5"/>
      <c r="B205" s="16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5"/>
      <c r="B206" s="16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5"/>
      <c r="B207" s="16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5"/>
      <c r="B208" s="16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5"/>
      <c r="B209" s="16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5"/>
      <c r="B210" s="16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5"/>
      <c r="B211" s="16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5"/>
      <c r="B212" s="16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5"/>
      <c r="B213" s="16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5"/>
      <c r="B214" s="16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5"/>
      <c r="B215" s="16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5"/>
      <c r="B216" s="16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5"/>
      <c r="B217" s="16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5"/>
      <c r="B218" s="16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5"/>
      <c r="B219" s="16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5"/>
      <c r="B220" s="16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5"/>
      <c r="B221" s="16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5"/>
      <c r="B222" s="16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5"/>
      <c r="B223" s="16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5"/>
      <c r="B224" s="16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5"/>
      <c r="B225" s="16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5"/>
      <c r="B226" s="16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5"/>
      <c r="B227" s="16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5"/>
      <c r="B228" s="16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5"/>
      <c r="B229" s="16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5"/>
      <c r="B230" s="16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5"/>
      <c r="B231" s="16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5"/>
      <c r="B232" s="16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5"/>
      <c r="B233" s="16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5"/>
      <c r="B234" s="16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5"/>
      <c r="B235" s="16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5"/>
      <c r="B236" s="16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5"/>
      <c r="B237" s="16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5"/>
      <c r="B238" s="16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5"/>
      <c r="B239" s="16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5"/>
      <c r="B240" s="16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5"/>
      <c r="B241" s="16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5"/>
      <c r="B242" s="16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5"/>
      <c r="B243" s="16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5"/>
      <c r="B244" s="16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5"/>
      <c r="B245" s="16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5"/>
      <c r="B246" s="16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5"/>
      <c r="B247" s="16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5"/>
      <c r="B248" s="16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5"/>
      <c r="B249" s="16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5"/>
      <c r="B250" s="16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5"/>
      <c r="B251" s="16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5"/>
      <c r="B252" s="16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5"/>
      <c r="B253" s="16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5"/>
      <c r="B254" s="16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5"/>
      <c r="B255" s="16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5"/>
      <c r="B256" s="16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5"/>
      <c r="B257" s="16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5"/>
      <c r="B258" s="16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5"/>
      <c r="B259" s="16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5"/>
      <c r="B260" s="16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5"/>
      <c r="B261" s="16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5"/>
      <c r="B262" s="16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5"/>
      <c r="B263" s="16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5"/>
      <c r="B264" s="16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5"/>
      <c r="B265" s="16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5"/>
      <c r="B266" s="16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5"/>
      <c r="B267" s="16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5"/>
      <c r="B268" s="16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5"/>
      <c r="B269" s="16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5"/>
      <c r="B270" s="16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5"/>
      <c r="B271" s="16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5"/>
      <c r="B272" s="16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5"/>
      <c r="B273" s="16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5"/>
      <c r="B274" s="16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5"/>
      <c r="B275" s="16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5"/>
      <c r="B276" s="16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5"/>
      <c r="B277" s="16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5"/>
      <c r="B278" s="16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5"/>
      <c r="B279" s="16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5"/>
      <c r="B280" s="16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5"/>
      <c r="B281" s="16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5"/>
      <c r="B282" s="16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5"/>
      <c r="B283" s="16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5"/>
      <c r="B284" s="16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5"/>
      <c r="B285" s="16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5"/>
      <c r="B286" s="16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5"/>
      <c r="B287" s="16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5"/>
      <c r="B288" s="16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5"/>
      <c r="B289" s="16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5"/>
      <c r="B290" s="16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5"/>
      <c r="B291" s="16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5"/>
      <c r="B292" s="16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5"/>
      <c r="B293" s="16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5"/>
      <c r="B294" s="16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5"/>
      <c r="B295" s="16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5"/>
      <c r="B296" s="16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5"/>
      <c r="B297" s="16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5"/>
      <c r="B298" s="16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5"/>
      <c r="B299" s="16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5"/>
      <c r="B300" s="16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5"/>
      <c r="B301" s="16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5"/>
      <c r="B302" s="16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5"/>
      <c r="B303" s="16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5"/>
      <c r="B304" s="16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5"/>
      <c r="B305" s="16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5"/>
      <c r="B306" s="16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5"/>
      <c r="B307" s="16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5"/>
      <c r="B308" s="16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5"/>
      <c r="B309" s="16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5"/>
      <c r="B310" s="16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5"/>
      <c r="B311" s="16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5"/>
      <c r="B312" s="16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5"/>
      <c r="B313" s="16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5"/>
      <c r="B314" s="16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5"/>
      <c r="B315" s="16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5"/>
      <c r="B316" s="16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5"/>
      <c r="B317" s="16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5"/>
      <c r="B318" s="16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5"/>
      <c r="B319" s="16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5"/>
      <c r="B320" s="16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5"/>
      <c r="B321" s="16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5"/>
      <c r="B322" s="16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5"/>
      <c r="B323" s="16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5"/>
      <c r="B324" s="16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5"/>
      <c r="B325" s="16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5"/>
      <c r="B326" s="16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5"/>
      <c r="B327" s="16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5"/>
      <c r="B328" s="16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5"/>
      <c r="B329" s="16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5"/>
      <c r="B330" s="16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5"/>
      <c r="B331" s="16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5"/>
      <c r="B332" s="16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5"/>
      <c r="B333" s="16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5"/>
      <c r="B334" s="16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5"/>
      <c r="B335" s="16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5"/>
      <c r="B336" s="16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5"/>
      <c r="B337" s="16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15"/>
      <c r="B338" s="16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5"/>
      <c r="B339" s="16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5"/>
      <c r="B340" s="16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5"/>
      <c r="B341" s="16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5"/>
      <c r="B342" s="16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5"/>
      <c r="B343" s="16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5"/>
      <c r="B344" s="16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5"/>
      <c r="B345" s="16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5"/>
      <c r="B346" s="16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5"/>
      <c r="B347" s="16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5"/>
      <c r="B348" s="16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5"/>
      <c r="B349" s="16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5"/>
      <c r="B350" s="16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5"/>
      <c r="B351" s="16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5"/>
      <c r="B352" s="16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5"/>
      <c r="B353" s="16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5"/>
      <c r="B354" s="16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5"/>
      <c r="B355" s="16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5"/>
      <c r="B356" s="16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5"/>
      <c r="B357" s="16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15"/>
      <c r="B358" s="16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5"/>
      <c r="B359" s="16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5"/>
      <c r="B360" s="16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77"/>
      <c r="B361" s="78"/>
    </row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39:F139"/>
  </mergeCells>
  <dataValidations>
    <dataValidation type="list" allowBlank="1" showErrorMessage="1" sqref="F11:F137">
      <formula1>"1.1,1.2,2.1,2.2,3.1.1,3.1.2,3.1.3,3.1.4,3.1.5,3.2.1,3.2.2,3.2.3,3.2.4,3.3.1,3.3.2,3.4.1,3.4.2,3.5,3.6,3.7"</formula1>
    </dataValidation>
  </dataValidations>
  <printOptions horizontalCentered="1"/>
  <pageMargins bottom="0.5511811023622047" footer="0.0" header="0.0" left="0.11811023622047245" right="0.11811023622047245" top="0.9448818897637796"/>
  <pageSetup paperSize="9" scale="55" orientation="portrait"/>
  <headerFooter>
    <oddHeader>&amp;C&amp;F &amp;A</oddHeader>
    <oddFooter>&amp;R&amp;D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hidden="1" min="1" max="1" width="5.71"/>
    <col customWidth="1" min="2" max="2" width="35.57"/>
    <col customWidth="1" min="3" max="3" width="67.86"/>
    <col customWidth="1" hidden="1" min="4" max="4" width="15.71"/>
    <col customWidth="1" hidden="1" min="5" max="6" width="17.29"/>
    <col customWidth="1" min="7" max="24" width="8.71"/>
  </cols>
  <sheetData>
    <row r="1" ht="15.75" hidden="1" customHeight="1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</row>
    <row r="2" ht="15.75" hidden="1" customHeight="1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</row>
    <row r="3" ht="15.75" customHeight="1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</row>
    <row r="4" ht="12.75" customHeight="1">
      <c r="A4" s="79"/>
      <c r="B4" s="79"/>
    </row>
    <row r="5" ht="12.75" customHeight="1">
      <c r="A5" s="79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</row>
    <row r="6" ht="13.5" customHeight="1">
      <c r="A6" s="79"/>
      <c r="B6" s="79"/>
      <c r="C6" s="79"/>
      <c r="D6" s="79"/>
    </row>
    <row r="7" ht="8.25" customHeight="1">
      <c r="A7" s="79"/>
      <c r="B7" s="79"/>
      <c r="D7" s="79"/>
    </row>
    <row r="8" ht="15.75" customHeight="1">
      <c r="A8" s="79"/>
      <c r="B8" s="80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</row>
    <row r="9" ht="13.5" customHeight="1">
      <c r="A9" s="81"/>
      <c r="B9" s="82"/>
      <c r="C9" s="2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</row>
    <row r="10" ht="13.5" customHeight="1">
      <c r="A10" s="81"/>
      <c r="B10" s="8"/>
      <c r="C10" s="80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</row>
    <row r="11" ht="15.75" customHeight="1">
      <c r="A11" s="83"/>
      <c r="B11" s="83" t="s">
        <v>62</v>
      </c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</row>
    <row r="12" ht="19.5" customHeight="1">
      <c r="A12" s="83"/>
      <c r="B12" s="83" t="s">
        <v>63</v>
      </c>
      <c r="C12" s="84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</row>
    <row r="13" ht="19.5" customHeight="1">
      <c r="A13" s="83"/>
      <c r="B13" s="83" t="s">
        <v>64</v>
      </c>
      <c r="C13" s="85" t="str">
        <f>IFERROR((VLOOKUP($C$12,Apoio!E2:I17,5,FALSE)),"--//--//--")</f>
        <v>--//--//--</v>
      </c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</row>
    <row r="14" ht="19.5" customHeight="1">
      <c r="A14" s="83"/>
      <c r="B14" s="83" t="s">
        <v>65</v>
      </c>
      <c r="C14" s="85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</row>
    <row r="15" ht="13.5" customHeight="1">
      <c r="A15" s="81"/>
      <c r="B15" s="81"/>
      <c r="C15" s="81"/>
      <c r="D15" s="81"/>
      <c r="E15" s="81"/>
      <c r="F15" s="81"/>
      <c r="G15" s="81"/>
      <c r="H15" s="86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</row>
    <row r="16" ht="17.25" customHeight="1">
      <c r="A16" s="81"/>
      <c r="B16" s="83" t="s">
        <v>66</v>
      </c>
      <c r="C16" s="83" t="s">
        <v>15</v>
      </c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</row>
    <row r="17" ht="19.5" customHeight="1">
      <c r="A17" s="81"/>
      <c r="B17" s="83" t="s">
        <v>67</v>
      </c>
      <c r="C17" s="85" t="str">
        <f t="array" ref="C17">IFERROR((INDEX(Contactos!A:A,MATCH('Dados Iniciais Preencher'!$C$12&amp;'Dados Iniciais Preencher'!$B17,Contactos!D:D,0),)),"--//--//--")</f>
        <v>--//--//--</v>
      </c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</row>
    <row r="18" ht="19.5" customHeight="1">
      <c r="A18" s="81"/>
      <c r="B18" s="83" t="s">
        <v>68</v>
      </c>
      <c r="C18" s="85" t="str">
        <f t="array" ref="C18">IFERROR((INDEX(Contactos!A:A,MATCH('Dados Iniciais Preencher'!$C$12&amp;'Dados Iniciais Preencher'!$B18,Contactos!D:D,0),)),"--//--//--")</f>
        <v>--//--//--</v>
      </c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</row>
    <row r="19" ht="19.5" customHeight="1">
      <c r="A19" s="81"/>
      <c r="B19" s="83" t="s">
        <v>69</v>
      </c>
      <c r="C19" s="85" t="str">
        <f t="array" ref="C19">IFERROR((INDEX(Contactos!A:A,MATCH('Dados Iniciais Preencher'!$C$12&amp;'Dados Iniciais Preencher'!$B19,Contactos!D:D,0),)),"--//--//--")</f>
        <v>--//--//--</v>
      </c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</row>
    <row r="20" ht="15.75" customHeight="1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</row>
    <row r="21" ht="15.75" customHeight="1">
      <c r="A21" s="81"/>
      <c r="B21" s="87" t="s">
        <v>70</v>
      </c>
      <c r="C21" s="87" t="str">
        <f>IF((C12=""),"",C12)</f>
        <v/>
      </c>
      <c r="D21" s="88" t="s">
        <v>71</v>
      </c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</row>
    <row r="22" ht="15.75" customHeight="1">
      <c r="A22" s="81"/>
      <c r="B22" s="89" t="s">
        <v>72</v>
      </c>
      <c r="C22" s="90" t="str">
        <f>+IFERROR(IFS($C$12="Mosquitos I",2930,$C$12="Mosquitos II",2930,$C$12="Aranhiços I",3280,$C$12="Aranhiços II",3280,$C$12="Aranhiços III",3280,$C$12="Melgas I",3400,$C$12="Melgas II",3400,$C$12="Tremelgas I",3400,$C$12="Tremelgas II",3400,$C$12="Tremelgas III",3400,$C$12="Camaleões I",3630,$C$12="Camaleões II",3630,$C$12="Cifa",B10,$C$12="Trolhas",B10,$C$12="Cegonhas",B10),"--//--//--")</f>
        <v>--//--//--</v>
      </c>
      <c r="D22" s="91">
        <v>2400.0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</row>
    <row r="23" ht="15.75" customHeight="1">
      <c r="A23" s="81"/>
      <c r="B23" s="92" t="s">
        <v>73</v>
      </c>
      <c r="C23" s="93">
        <f>+C24+C25</f>
        <v>10</v>
      </c>
      <c r="D23" s="94" t="str">
        <f>D24+D25</f>
        <v>#REF!</v>
      </c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</row>
    <row r="24" ht="15.75" customHeight="1">
      <c r="A24" s="81"/>
      <c r="B24" s="95" t="s">
        <v>74</v>
      </c>
      <c r="C24" s="96">
        <f>+'Valores Ref. Verão '!I4</f>
        <v>10</v>
      </c>
      <c r="D24" s="97" t="str">
        <f>+#REF!+#REF!+#REF!</f>
        <v>#REF!</v>
      </c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</row>
    <row r="25" ht="15.75" customHeight="1">
      <c r="A25" s="81"/>
      <c r="B25" s="95" t="s">
        <v>75</v>
      </c>
      <c r="C25" s="96">
        <f>+'Valores Ref. Verão '!I7</f>
        <v>0</v>
      </c>
      <c r="D25" s="97">
        <v>30.0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</row>
    <row r="26" ht="15.75" customHeight="1">
      <c r="A26" s="81"/>
      <c r="B26" s="98" t="s">
        <v>76</v>
      </c>
      <c r="C26" s="99">
        <f>+C27+C28+C29+C30+C31+C32</f>
        <v>0</v>
      </c>
      <c r="D26" s="100" t="str">
        <f>D22-D23</f>
        <v>#REF!</v>
      </c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</row>
    <row r="27" ht="15.75" customHeight="1">
      <c r="A27" s="81"/>
      <c r="B27" s="101" t="s">
        <v>77</v>
      </c>
      <c r="C27" s="96">
        <f>+'Valores Ref. Verão '!I11</f>
        <v>0</v>
      </c>
      <c r="D27" s="97" t="str">
        <f>+#REF!+#REF!+#REF!+#REF!+#REF!</f>
        <v>#REF!</v>
      </c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</row>
    <row r="28" ht="15.75" customHeight="1">
      <c r="A28" s="81"/>
      <c r="B28" s="101" t="s">
        <v>78</v>
      </c>
      <c r="C28" s="96">
        <f>+'Valores Ref. Verão '!I17</f>
        <v>0</v>
      </c>
      <c r="D28" s="97" t="str">
        <f>+#REF!+#REF!+#REF!+#REF!</f>
        <v>#REF!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</row>
    <row r="29" ht="15.75" customHeight="1">
      <c r="A29" s="81"/>
      <c r="B29" s="101" t="s">
        <v>79</v>
      </c>
      <c r="C29" s="96">
        <f>+'Valores Ref. Verão '!I22</f>
        <v>0</v>
      </c>
      <c r="D29" s="97" t="str">
        <f t="shared" ref="D29:D30" si="1">+#REF!+#REF!</f>
        <v>#REF!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</row>
    <row r="30" ht="15.75" customHeight="1">
      <c r="A30" s="81"/>
      <c r="B30" s="101" t="s">
        <v>80</v>
      </c>
      <c r="C30" s="96">
        <f>+'Valores Ref. Verão '!I25</f>
        <v>0</v>
      </c>
      <c r="D30" s="97" t="str">
        <f t="shared" si="1"/>
        <v>#REF!</v>
      </c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</row>
    <row r="31" ht="15.75" customHeight="1">
      <c r="A31" s="81"/>
      <c r="B31" s="101" t="s">
        <v>81</v>
      </c>
      <c r="C31" s="96">
        <f>+'Valores Ref. Verão '!I28</f>
        <v>0</v>
      </c>
      <c r="D31" s="97">
        <v>20.0</v>
      </c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</row>
    <row r="32" ht="15.75" customHeight="1">
      <c r="A32" s="81"/>
      <c r="B32" s="101" t="s">
        <v>82</v>
      </c>
      <c r="C32" s="96">
        <f>+'Valores Ref. Verão '!I29</f>
        <v>0</v>
      </c>
      <c r="D32" s="97">
        <v>10.0</v>
      </c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</row>
    <row r="33" ht="15.75" customHeight="1">
      <c r="A33" s="81"/>
      <c r="B33" s="101" t="s">
        <v>83</v>
      </c>
      <c r="C33" s="96">
        <f>+'Valores Ref. Verão '!I30</f>
        <v>0</v>
      </c>
      <c r="D33" s="102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</row>
    <row r="34" ht="15.75" customHeight="1">
      <c r="A34" s="81"/>
      <c r="B34" s="103" t="s">
        <v>84</v>
      </c>
      <c r="C34" s="104" t="str">
        <f>IFERROR((C22-C24-C25-C27-C28-C29-C30-C31-C32-C33),"")</f>
        <v/>
      </c>
      <c r="D34" s="102" t="str">
        <f>+D24+D25+D27+D28+D29+D30+D31+D32+#REF!</f>
        <v>#REF!</v>
      </c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</row>
    <row r="35" ht="15.75" customHeight="1">
      <c r="A35" s="79"/>
      <c r="B35" s="79"/>
    </row>
    <row r="36" ht="15.75" customHeight="1">
      <c r="A36" s="79"/>
      <c r="B36" s="79"/>
    </row>
    <row r="37" ht="15.75" customHeight="1">
      <c r="A37" s="79"/>
      <c r="B37" s="79"/>
    </row>
    <row r="38" ht="15.75" customHeight="1">
      <c r="A38" s="79"/>
      <c r="B38" s="79"/>
    </row>
    <row r="39" ht="15.75" customHeight="1">
      <c r="A39" s="79"/>
      <c r="B39" s="79"/>
    </row>
    <row r="40" ht="15.75" customHeight="1">
      <c r="A40" s="79"/>
      <c r="B40" s="79"/>
    </row>
    <row r="41" ht="15.75" customHeight="1">
      <c r="A41" s="79"/>
      <c r="B41" s="79"/>
    </row>
    <row r="42" ht="15.75" customHeight="1">
      <c r="A42" s="79"/>
      <c r="B42" s="79"/>
    </row>
    <row r="43" ht="15.75" customHeight="1">
      <c r="A43" s="79"/>
      <c r="B43" s="79"/>
    </row>
    <row r="44" ht="15.75" customHeight="1">
      <c r="A44" s="79"/>
      <c r="B44" s="79"/>
    </row>
    <row r="45" ht="15.75" customHeight="1">
      <c r="A45" s="79"/>
      <c r="B45" s="79"/>
    </row>
    <row r="46" ht="15.75" customHeight="1">
      <c r="A46" s="79"/>
      <c r="B46" s="79"/>
    </row>
    <row r="47" ht="15.75" customHeight="1">
      <c r="A47" s="79"/>
      <c r="B47" s="79"/>
    </row>
    <row r="48" ht="15.75" customHeight="1">
      <c r="A48" s="79"/>
      <c r="B48" s="79"/>
    </row>
    <row r="49" ht="15.75" customHeight="1">
      <c r="A49" s="79"/>
      <c r="B49" s="79"/>
    </row>
    <row r="50" ht="15.75" customHeight="1">
      <c r="A50" s="79"/>
      <c r="B50" s="79"/>
    </row>
    <row r="51" ht="15.75" customHeight="1">
      <c r="A51" s="79"/>
      <c r="B51" s="79"/>
    </row>
    <row r="52" ht="15.75" customHeight="1">
      <c r="A52" s="79"/>
      <c r="B52" s="79"/>
    </row>
    <row r="53" ht="15.75" customHeight="1">
      <c r="A53" s="79"/>
      <c r="B53" s="79"/>
    </row>
    <row r="54" ht="15.75" customHeight="1">
      <c r="A54" s="79"/>
      <c r="B54" s="79"/>
    </row>
    <row r="55" ht="15.75" customHeight="1">
      <c r="A55" s="79"/>
      <c r="B55" s="79"/>
    </row>
    <row r="56" ht="15.75" customHeight="1">
      <c r="A56" s="79"/>
      <c r="B56" s="79"/>
    </row>
    <row r="57" ht="15.75" customHeight="1">
      <c r="A57" s="79"/>
      <c r="B57" s="79"/>
    </row>
    <row r="58" ht="15.75" customHeight="1">
      <c r="A58" s="79"/>
      <c r="B58" s="79"/>
    </row>
    <row r="59" ht="15.75" customHeight="1">
      <c r="A59" s="79"/>
      <c r="B59" s="79"/>
    </row>
    <row r="60" ht="15.75" customHeight="1">
      <c r="A60" s="79"/>
      <c r="B60" s="79"/>
    </row>
    <row r="61" ht="15.75" customHeight="1">
      <c r="A61" s="79"/>
      <c r="B61" s="79"/>
    </row>
    <row r="62" ht="15.75" customHeight="1">
      <c r="A62" s="79"/>
      <c r="B62" s="79"/>
    </row>
    <row r="63" ht="15.75" customHeight="1">
      <c r="A63" s="79"/>
      <c r="B63" s="79"/>
    </row>
    <row r="64" ht="15.75" customHeight="1">
      <c r="A64" s="79"/>
      <c r="B64" s="79"/>
    </row>
    <row r="65" ht="15.75" customHeight="1">
      <c r="A65" s="79"/>
      <c r="B65" s="79"/>
    </row>
    <row r="66" ht="15.75" customHeight="1">
      <c r="A66" s="79"/>
      <c r="B66" s="79"/>
    </row>
    <row r="67" ht="15.75" customHeight="1">
      <c r="A67" s="79"/>
      <c r="B67" s="79"/>
    </row>
    <row r="68" ht="15.75" customHeight="1">
      <c r="A68" s="79"/>
      <c r="B68" s="79"/>
    </row>
    <row r="69" ht="15.75" customHeight="1">
      <c r="A69" s="79"/>
      <c r="B69" s="79"/>
    </row>
    <row r="70" ht="15.75" customHeight="1">
      <c r="A70" s="79"/>
      <c r="B70" s="79"/>
    </row>
    <row r="71" ht="15.75" customHeight="1">
      <c r="A71" s="79"/>
      <c r="B71" s="79"/>
    </row>
    <row r="72" ht="15.75" customHeight="1">
      <c r="A72" s="79"/>
      <c r="B72" s="79"/>
    </row>
    <row r="73" ht="15.75" customHeight="1">
      <c r="A73" s="79"/>
      <c r="B73" s="79"/>
    </row>
    <row r="74" ht="15.75" customHeight="1">
      <c r="A74" s="79"/>
      <c r="B74" s="79"/>
    </row>
    <row r="75" ht="15.75" customHeight="1">
      <c r="A75" s="79"/>
      <c r="B75" s="79"/>
    </row>
    <row r="76" ht="15.75" customHeight="1">
      <c r="A76" s="79"/>
      <c r="B76" s="79"/>
    </row>
    <row r="77" ht="15.75" customHeight="1">
      <c r="A77" s="79"/>
      <c r="B77" s="79"/>
    </row>
    <row r="78" ht="15.75" customHeight="1">
      <c r="A78" s="79"/>
      <c r="B78" s="79"/>
    </row>
    <row r="79" ht="15.75" customHeight="1">
      <c r="A79" s="79"/>
      <c r="B79" s="79"/>
    </row>
    <row r="80" ht="15.75" customHeight="1">
      <c r="A80" s="79"/>
      <c r="B80" s="79"/>
    </row>
    <row r="81" ht="15.75" customHeight="1">
      <c r="A81" s="79"/>
      <c r="B81" s="79"/>
    </row>
    <row r="82" ht="15.75" customHeight="1">
      <c r="A82" s="79"/>
      <c r="B82" s="79"/>
    </row>
    <row r="83" ht="15.75" customHeight="1">
      <c r="A83" s="79"/>
      <c r="B83" s="79"/>
    </row>
    <row r="84" ht="15.75" customHeight="1">
      <c r="A84" s="79"/>
      <c r="B84" s="79"/>
    </row>
    <row r="85" ht="15.75" customHeight="1">
      <c r="A85" s="79"/>
      <c r="B85" s="79"/>
    </row>
    <row r="86" ht="15.75" customHeight="1">
      <c r="A86" s="79"/>
      <c r="B86" s="79"/>
    </row>
    <row r="87" ht="15.75" customHeight="1">
      <c r="A87" s="79"/>
      <c r="B87" s="79"/>
    </row>
    <row r="88" ht="15.75" customHeight="1">
      <c r="A88" s="79"/>
      <c r="B88" s="79"/>
    </row>
    <row r="89" ht="15.75" customHeight="1">
      <c r="A89" s="79"/>
      <c r="B89" s="79"/>
    </row>
    <row r="90" ht="15.75" customHeight="1">
      <c r="A90" s="79"/>
      <c r="B90" s="79"/>
    </row>
    <row r="91" ht="15.75" customHeight="1">
      <c r="A91" s="79"/>
      <c r="B91" s="79"/>
    </row>
    <row r="92" ht="15.75" customHeight="1">
      <c r="A92" s="79"/>
      <c r="B92" s="79"/>
    </row>
    <row r="93" ht="15.75" customHeight="1">
      <c r="A93" s="79"/>
      <c r="B93" s="79"/>
    </row>
    <row r="94" ht="15.75" customHeight="1">
      <c r="A94" s="79"/>
      <c r="B94" s="79"/>
    </row>
    <row r="95" ht="15.75" customHeight="1">
      <c r="A95" s="79"/>
      <c r="B95" s="79"/>
    </row>
    <row r="96" ht="15.75" customHeight="1">
      <c r="A96" s="79"/>
      <c r="B96" s="79"/>
    </row>
    <row r="97" ht="15.75" customHeight="1">
      <c r="A97" s="79"/>
      <c r="B97" s="79"/>
    </row>
    <row r="98" ht="15.75" customHeight="1">
      <c r="A98" s="79"/>
      <c r="B98" s="79"/>
    </row>
    <row r="99" ht="15.75" customHeight="1">
      <c r="A99" s="79"/>
      <c r="B99" s="79"/>
    </row>
    <row r="100" ht="15.75" customHeight="1">
      <c r="A100" s="79"/>
      <c r="B100" s="79"/>
    </row>
    <row r="101" ht="15.75" customHeight="1">
      <c r="A101" s="79"/>
      <c r="B101" s="79"/>
    </row>
    <row r="102" ht="15.75" customHeight="1">
      <c r="A102" s="79"/>
      <c r="B102" s="79"/>
    </row>
    <row r="103" ht="15.75" customHeight="1">
      <c r="A103" s="79"/>
      <c r="B103" s="79"/>
    </row>
    <row r="104" ht="15.75" customHeight="1">
      <c r="A104" s="79"/>
      <c r="B104" s="79"/>
    </row>
    <row r="105" ht="15.75" customHeight="1">
      <c r="A105" s="79"/>
      <c r="B105" s="79"/>
    </row>
    <row r="106" ht="15.75" customHeight="1">
      <c r="A106" s="79"/>
      <c r="B106" s="79"/>
    </row>
    <row r="107" ht="15.75" customHeight="1">
      <c r="A107" s="79"/>
      <c r="B107" s="79"/>
    </row>
    <row r="108" ht="15.75" customHeight="1">
      <c r="A108" s="79"/>
      <c r="B108" s="79"/>
    </row>
    <row r="109" ht="15.75" customHeight="1">
      <c r="A109" s="79"/>
      <c r="B109" s="79"/>
    </row>
    <row r="110" ht="15.75" customHeight="1">
      <c r="A110" s="79"/>
      <c r="B110" s="79"/>
    </row>
    <row r="111" ht="15.75" customHeight="1">
      <c r="A111" s="79"/>
      <c r="B111" s="79"/>
    </row>
    <row r="112" ht="15.75" customHeight="1">
      <c r="A112" s="79"/>
      <c r="B112" s="79"/>
    </row>
    <row r="113" ht="15.75" customHeight="1">
      <c r="A113" s="79"/>
      <c r="B113" s="79"/>
    </row>
    <row r="114" ht="15.75" customHeight="1">
      <c r="A114" s="79"/>
      <c r="B114" s="79"/>
    </row>
    <row r="115" ht="15.75" customHeight="1">
      <c r="A115" s="79"/>
      <c r="B115" s="79"/>
    </row>
    <row r="116" ht="15.75" customHeight="1">
      <c r="A116" s="79"/>
      <c r="B116" s="79"/>
    </row>
    <row r="117" ht="15.75" customHeight="1">
      <c r="A117" s="79"/>
      <c r="B117" s="79"/>
    </row>
    <row r="118" ht="15.75" customHeight="1">
      <c r="A118" s="79"/>
      <c r="B118" s="79"/>
    </row>
    <row r="119" ht="15.75" customHeight="1">
      <c r="A119" s="79"/>
      <c r="B119" s="79"/>
    </row>
    <row r="120" ht="15.75" customHeight="1">
      <c r="A120" s="79"/>
      <c r="B120" s="79"/>
    </row>
    <row r="121" ht="15.75" customHeight="1">
      <c r="A121" s="79"/>
      <c r="B121" s="79"/>
    </row>
    <row r="122" ht="15.75" customHeight="1">
      <c r="A122" s="79"/>
      <c r="B122" s="79"/>
    </row>
    <row r="123" ht="15.75" customHeight="1">
      <c r="A123" s="79"/>
      <c r="B123" s="79"/>
    </row>
    <row r="124" ht="15.75" customHeight="1">
      <c r="A124" s="79"/>
      <c r="B124" s="79"/>
    </row>
    <row r="125" ht="15.75" customHeight="1">
      <c r="A125" s="79"/>
      <c r="B125" s="79"/>
    </row>
    <row r="126" ht="15.75" customHeight="1">
      <c r="A126" s="79"/>
      <c r="B126" s="79"/>
    </row>
    <row r="127" ht="15.75" customHeight="1">
      <c r="A127" s="79"/>
      <c r="B127" s="79"/>
    </row>
    <row r="128" ht="15.75" customHeight="1">
      <c r="A128" s="79"/>
      <c r="B128" s="79"/>
    </row>
    <row r="129" ht="15.75" customHeight="1">
      <c r="A129" s="79"/>
      <c r="B129" s="79"/>
    </row>
    <row r="130" ht="15.75" customHeight="1">
      <c r="A130" s="79"/>
      <c r="B130" s="79"/>
    </row>
    <row r="131" ht="15.75" customHeight="1">
      <c r="A131" s="79"/>
      <c r="B131" s="79"/>
    </row>
    <row r="132" ht="15.75" customHeight="1">
      <c r="A132" s="79"/>
      <c r="B132" s="79"/>
    </row>
    <row r="133" ht="15.75" customHeight="1">
      <c r="A133" s="79"/>
      <c r="B133" s="79"/>
    </row>
    <row r="134" ht="15.75" customHeight="1">
      <c r="A134" s="79"/>
      <c r="B134" s="79"/>
    </row>
    <row r="135" ht="15.75" customHeight="1">
      <c r="A135" s="79"/>
      <c r="B135" s="79"/>
    </row>
    <row r="136" ht="15.75" customHeight="1">
      <c r="A136" s="79"/>
      <c r="B136" s="79"/>
    </row>
    <row r="137" ht="15.75" customHeight="1">
      <c r="A137" s="79"/>
      <c r="B137" s="79"/>
    </row>
    <row r="138" ht="15.75" customHeight="1">
      <c r="A138" s="79"/>
      <c r="B138" s="79"/>
    </row>
    <row r="139" ht="15.75" customHeight="1">
      <c r="A139" s="79"/>
      <c r="B139" s="79"/>
    </row>
    <row r="140" ht="15.75" customHeight="1">
      <c r="A140" s="79"/>
      <c r="B140" s="79"/>
    </row>
    <row r="141" ht="15.75" customHeight="1">
      <c r="A141" s="79"/>
      <c r="B141" s="79"/>
    </row>
    <row r="142" ht="15.75" customHeight="1">
      <c r="A142" s="79"/>
      <c r="B142" s="79"/>
    </row>
    <row r="143" ht="15.75" customHeight="1">
      <c r="A143" s="79"/>
      <c r="B143" s="79"/>
    </row>
    <row r="144" ht="15.75" customHeight="1">
      <c r="A144" s="79"/>
      <c r="B144" s="79"/>
    </row>
    <row r="145" ht="15.75" customHeight="1">
      <c r="A145" s="79"/>
      <c r="B145" s="79"/>
    </row>
    <row r="146" ht="15.75" customHeight="1">
      <c r="A146" s="79"/>
      <c r="B146" s="79"/>
    </row>
    <row r="147" ht="15.75" customHeight="1">
      <c r="A147" s="79"/>
      <c r="B147" s="79"/>
    </row>
    <row r="148" ht="15.75" customHeight="1">
      <c r="A148" s="79"/>
      <c r="B148" s="79"/>
    </row>
    <row r="149" ht="15.75" customHeight="1">
      <c r="A149" s="79"/>
      <c r="B149" s="79"/>
    </row>
    <row r="150" ht="15.75" customHeight="1">
      <c r="A150" s="79"/>
      <c r="B150" s="79"/>
    </row>
    <row r="151" ht="15.75" customHeight="1">
      <c r="A151" s="79"/>
      <c r="B151" s="79"/>
    </row>
    <row r="152" ht="15.75" customHeight="1">
      <c r="A152" s="79"/>
      <c r="B152" s="79"/>
    </row>
    <row r="153" ht="15.75" customHeight="1">
      <c r="A153" s="79"/>
      <c r="B153" s="79"/>
    </row>
    <row r="154" ht="15.75" customHeight="1">
      <c r="A154" s="79"/>
      <c r="B154" s="79"/>
    </row>
    <row r="155" ht="15.75" customHeight="1">
      <c r="A155" s="79"/>
      <c r="B155" s="79"/>
    </row>
    <row r="156" ht="15.75" customHeight="1">
      <c r="A156" s="79"/>
      <c r="B156" s="79"/>
    </row>
    <row r="157" ht="15.75" customHeight="1">
      <c r="A157" s="79"/>
      <c r="B157" s="79"/>
    </row>
    <row r="158" ht="15.75" customHeight="1">
      <c r="A158" s="79"/>
      <c r="B158" s="79"/>
    </row>
    <row r="159" ht="15.75" customHeight="1">
      <c r="A159" s="79"/>
      <c r="B159" s="79"/>
    </row>
    <row r="160" ht="15.75" customHeight="1">
      <c r="A160" s="79"/>
      <c r="B160" s="79"/>
    </row>
    <row r="161" ht="15.75" customHeight="1">
      <c r="A161" s="79"/>
      <c r="B161" s="79"/>
    </row>
    <row r="162" ht="15.75" customHeight="1">
      <c r="A162" s="79"/>
      <c r="B162" s="79"/>
    </row>
    <row r="163" ht="15.75" customHeight="1">
      <c r="A163" s="79"/>
      <c r="B163" s="79"/>
    </row>
    <row r="164" ht="15.75" customHeight="1">
      <c r="A164" s="79"/>
      <c r="B164" s="79"/>
    </row>
    <row r="165" ht="15.75" customHeight="1">
      <c r="A165" s="79"/>
      <c r="B165" s="79"/>
    </row>
    <row r="166" ht="15.75" customHeight="1">
      <c r="A166" s="79"/>
      <c r="B166" s="79"/>
    </row>
    <row r="167" ht="15.75" customHeight="1">
      <c r="A167" s="79"/>
      <c r="B167" s="79"/>
    </row>
    <row r="168" ht="15.75" customHeight="1">
      <c r="A168" s="79"/>
      <c r="B168" s="79"/>
    </row>
    <row r="169" ht="15.75" customHeight="1">
      <c r="A169" s="79"/>
      <c r="B169" s="79"/>
    </row>
    <row r="170" ht="15.75" customHeight="1">
      <c r="A170" s="79"/>
      <c r="B170" s="79"/>
    </row>
    <row r="171" ht="15.75" customHeight="1">
      <c r="A171" s="79"/>
      <c r="B171" s="79"/>
    </row>
    <row r="172" ht="15.75" customHeight="1">
      <c r="A172" s="79"/>
      <c r="B172" s="79"/>
    </row>
    <row r="173" ht="15.75" customHeight="1">
      <c r="A173" s="79"/>
      <c r="B173" s="79"/>
    </row>
    <row r="174" ht="15.75" customHeight="1">
      <c r="A174" s="79"/>
      <c r="B174" s="79"/>
    </row>
    <row r="175" ht="15.75" customHeight="1">
      <c r="A175" s="79"/>
      <c r="B175" s="79"/>
    </row>
    <row r="176" ht="15.75" customHeight="1">
      <c r="A176" s="79"/>
      <c r="B176" s="79"/>
    </row>
    <row r="177" ht="15.75" customHeight="1">
      <c r="A177" s="79"/>
      <c r="B177" s="79"/>
    </row>
    <row r="178" ht="15.75" customHeight="1">
      <c r="A178" s="79"/>
      <c r="B178" s="79"/>
    </row>
    <row r="179" ht="15.75" customHeight="1">
      <c r="A179" s="79"/>
      <c r="B179" s="79"/>
    </row>
    <row r="180" ht="15.75" customHeight="1">
      <c r="A180" s="79"/>
      <c r="B180" s="79"/>
    </row>
    <row r="181" ht="15.75" customHeight="1">
      <c r="A181" s="79"/>
      <c r="B181" s="79"/>
    </row>
    <row r="182" ht="15.75" customHeight="1">
      <c r="A182" s="79"/>
      <c r="B182" s="79"/>
    </row>
    <row r="183" ht="15.75" customHeight="1">
      <c r="A183" s="79"/>
      <c r="B183" s="79"/>
    </row>
    <row r="184" ht="15.75" customHeight="1">
      <c r="A184" s="79"/>
      <c r="B184" s="79"/>
    </row>
    <row r="185" ht="15.75" customHeight="1">
      <c r="A185" s="79"/>
      <c r="B185" s="79"/>
    </row>
    <row r="186" ht="15.75" customHeight="1">
      <c r="A186" s="79"/>
      <c r="B186" s="79"/>
    </row>
    <row r="187" ht="15.75" customHeight="1">
      <c r="A187" s="79"/>
      <c r="B187" s="79"/>
    </row>
    <row r="188" ht="15.75" customHeight="1">
      <c r="A188" s="79"/>
      <c r="B188" s="79"/>
    </row>
    <row r="189" ht="15.75" customHeight="1">
      <c r="A189" s="79"/>
      <c r="B189" s="79"/>
    </row>
    <row r="190" ht="15.75" customHeight="1">
      <c r="A190" s="79"/>
      <c r="B190" s="79"/>
    </row>
    <row r="191" ht="15.75" customHeight="1">
      <c r="A191" s="79"/>
      <c r="B191" s="79"/>
    </row>
    <row r="192" ht="15.75" customHeight="1">
      <c r="A192" s="79"/>
      <c r="B192" s="79"/>
    </row>
    <row r="193" ht="15.75" customHeight="1">
      <c r="A193" s="79"/>
      <c r="B193" s="79"/>
    </row>
    <row r="194" ht="15.75" customHeight="1">
      <c r="A194" s="79"/>
      <c r="B194" s="79"/>
    </row>
    <row r="195" ht="15.75" customHeight="1">
      <c r="A195" s="79"/>
      <c r="B195" s="79"/>
    </row>
    <row r="196" ht="15.75" customHeight="1">
      <c r="A196" s="79"/>
      <c r="B196" s="79"/>
    </row>
    <row r="197" ht="15.75" customHeight="1">
      <c r="A197" s="79"/>
      <c r="B197" s="79"/>
    </row>
    <row r="198" ht="15.75" customHeight="1">
      <c r="A198" s="79"/>
      <c r="B198" s="79"/>
    </row>
    <row r="199" ht="15.75" customHeight="1">
      <c r="A199" s="79"/>
      <c r="B199" s="79"/>
    </row>
    <row r="200" ht="15.75" customHeight="1">
      <c r="A200" s="79"/>
      <c r="B200" s="79"/>
    </row>
    <row r="201" ht="15.75" customHeight="1">
      <c r="A201" s="79"/>
      <c r="B201" s="79"/>
    </row>
    <row r="202" ht="15.75" customHeight="1">
      <c r="A202" s="79"/>
      <c r="B202" s="79"/>
    </row>
    <row r="203" ht="15.75" customHeight="1">
      <c r="A203" s="79"/>
      <c r="B203" s="79"/>
    </row>
    <row r="204" ht="15.75" customHeight="1">
      <c r="A204" s="79"/>
      <c r="B204" s="79"/>
    </row>
    <row r="205" ht="15.75" customHeight="1">
      <c r="A205" s="79"/>
      <c r="B205" s="79"/>
    </row>
    <row r="206" ht="15.75" customHeight="1">
      <c r="A206" s="79"/>
      <c r="B206" s="79"/>
    </row>
    <row r="207" ht="15.75" customHeight="1">
      <c r="A207" s="79"/>
      <c r="B207" s="79"/>
    </row>
    <row r="208" ht="15.75" customHeight="1">
      <c r="A208" s="79"/>
      <c r="B208" s="79"/>
    </row>
    <row r="209" ht="15.75" customHeight="1">
      <c r="A209" s="79"/>
      <c r="B209" s="79"/>
    </row>
    <row r="210" ht="15.75" customHeight="1">
      <c r="A210" s="79"/>
      <c r="B210" s="79"/>
    </row>
    <row r="211" ht="15.75" customHeight="1">
      <c r="A211" s="79"/>
      <c r="B211" s="79"/>
    </row>
    <row r="212" ht="15.75" customHeight="1">
      <c r="A212" s="79"/>
      <c r="B212" s="79"/>
    </row>
    <row r="213" ht="15.75" customHeight="1">
      <c r="A213" s="79"/>
      <c r="B213" s="79"/>
    </row>
    <row r="214" ht="15.75" customHeight="1">
      <c r="A214" s="79"/>
      <c r="B214" s="79"/>
    </row>
    <row r="215" ht="15.75" customHeight="1">
      <c r="A215" s="79"/>
      <c r="B215" s="79"/>
    </row>
    <row r="216" ht="15.75" customHeight="1">
      <c r="A216" s="79"/>
      <c r="B216" s="79"/>
    </row>
    <row r="217" ht="15.75" customHeight="1">
      <c r="A217" s="79"/>
      <c r="B217" s="79"/>
    </row>
    <row r="218" ht="15.75" customHeight="1">
      <c r="A218" s="79"/>
      <c r="B218" s="79"/>
    </row>
    <row r="219" ht="15.75" customHeight="1">
      <c r="A219" s="79"/>
      <c r="B219" s="79"/>
    </row>
    <row r="220" ht="15.75" customHeight="1">
      <c r="A220" s="79"/>
      <c r="B220" s="79"/>
    </row>
    <row r="221" ht="15.75" customHeight="1">
      <c r="A221" s="79"/>
      <c r="B221" s="79"/>
    </row>
    <row r="222" ht="15.75" customHeight="1">
      <c r="A222" s="79"/>
      <c r="B222" s="79"/>
    </row>
    <row r="223" ht="15.75" customHeight="1">
      <c r="A223" s="79"/>
      <c r="B223" s="79"/>
    </row>
    <row r="224" ht="15.75" customHeight="1">
      <c r="A224" s="79"/>
      <c r="B224" s="79"/>
    </row>
    <row r="225" ht="15.75" customHeight="1">
      <c r="A225" s="79"/>
      <c r="B225" s="79"/>
    </row>
    <row r="226" ht="15.75" customHeight="1">
      <c r="A226" s="79"/>
      <c r="B226" s="79"/>
    </row>
    <row r="227" ht="15.75" customHeight="1">
      <c r="A227" s="79"/>
      <c r="B227" s="79"/>
    </row>
    <row r="228" ht="15.75" customHeight="1">
      <c r="A228" s="79"/>
      <c r="B228" s="79"/>
    </row>
    <row r="229" ht="15.75" customHeight="1">
      <c r="A229" s="79"/>
      <c r="B229" s="79"/>
    </row>
    <row r="230" ht="15.75" customHeight="1">
      <c r="A230" s="79"/>
      <c r="B230" s="79"/>
    </row>
    <row r="231" ht="15.75" customHeight="1">
      <c r="A231" s="79"/>
      <c r="B231" s="79"/>
    </row>
    <row r="232" ht="15.75" customHeight="1">
      <c r="A232" s="79"/>
      <c r="B232" s="79"/>
    </row>
    <row r="233" ht="15.75" customHeight="1">
      <c r="A233" s="79"/>
      <c r="B233" s="79"/>
    </row>
    <row r="234" ht="15.75" customHeight="1">
      <c r="A234" s="79"/>
      <c r="B234" s="79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12">
      <formula1>"Mosquitos I,Mosquitos II,Aranhiços I,Aranhiços II,Melgas I,Melgas II,Tremelgas I,Tremelgas II,Tremelgas III,Camaleões I"</formula1>
    </dataValidation>
  </dataValidations>
  <printOptions horizontalCentered="1"/>
  <pageMargins bottom="0.7480314960629921" footer="0.0" header="0.0" left="0.7086614173228347" right="0.7086614173228347" top="1.3385826771653544"/>
  <pageSetup fitToHeight="0" paperSize="9" orientation="portrait"/>
  <headerFooter>
    <oddHeader>&amp;C&amp;F &amp;A</oddHeader>
    <oddFooter>&amp;R&amp;D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 outlineLevelCol="1" outlineLevelRow="1"/>
  <cols>
    <col customWidth="1" hidden="1" min="1" max="1" width="6.43" outlineLevel="1"/>
    <col collapsed="1" customWidth="1" min="2" max="2" width="52.0"/>
    <col customWidth="1" min="3" max="7" width="15.71"/>
    <col customWidth="1" min="8" max="8" width="2.14"/>
    <col customWidth="1" min="9" max="9" width="32.57"/>
    <col customWidth="1" min="10" max="10" width="3.86"/>
    <col customWidth="1" min="11" max="11" width="12.86"/>
    <col customWidth="1" min="12" max="12" width="11.43" outlineLevel="1"/>
    <col customWidth="1" min="13" max="16" width="9.14"/>
    <col customWidth="1" min="17" max="27" width="17.29"/>
  </cols>
  <sheetData>
    <row r="1" ht="29.25" customHeight="1">
      <c r="A1" s="83"/>
      <c r="B1" s="105" t="s">
        <v>70</v>
      </c>
      <c r="C1" s="105" t="s">
        <v>85</v>
      </c>
      <c r="D1" s="105" t="s">
        <v>86</v>
      </c>
      <c r="E1" s="106" t="s">
        <v>87</v>
      </c>
      <c r="F1" s="106" t="s">
        <v>88</v>
      </c>
      <c r="G1" s="106" t="s">
        <v>89</v>
      </c>
      <c r="H1" s="107"/>
      <c r="I1" s="106" t="s">
        <v>90</v>
      </c>
      <c r="J1" s="83"/>
      <c r="K1" s="108"/>
      <c r="L1" s="108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</row>
    <row r="2" ht="19.5" customHeight="1">
      <c r="A2" s="83" t="s">
        <v>91</v>
      </c>
      <c r="B2" s="109" t="s">
        <v>72</v>
      </c>
      <c r="C2" s="110">
        <v>2930.0</v>
      </c>
      <c r="D2" s="111">
        <v>3280.0</v>
      </c>
      <c r="E2" s="111">
        <v>3400.0</v>
      </c>
      <c r="F2" s="111">
        <v>3400.0</v>
      </c>
      <c r="G2" s="111">
        <v>3630.0</v>
      </c>
      <c r="H2" s="107"/>
      <c r="I2" s="112" t="str">
        <f>+'Dados Iniciais Preencher'!C22</f>
        <v>--//--//--</v>
      </c>
      <c r="J2" s="83"/>
      <c r="K2" s="108"/>
      <c r="L2" s="11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</row>
    <row r="3" ht="12.75" customHeight="1">
      <c r="A3" s="83"/>
      <c r="B3" s="114" t="s">
        <v>73</v>
      </c>
      <c r="C3" s="115">
        <f t="shared" ref="C3:G3" si="1">C4+C7</f>
        <v>395</v>
      </c>
      <c r="D3" s="115">
        <f t="shared" si="1"/>
        <v>395</v>
      </c>
      <c r="E3" s="115">
        <f t="shared" si="1"/>
        <v>395</v>
      </c>
      <c r="F3" s="115">
        <f t="shared" si="1"/>
        <v>395</v>
      </c>
      <c r="G3" s="115">
        <f t="shared" si="1"/>
        <v>395</v>
      </c>
      <c r="H3" s="107"/>
      <c r="I3" s="116">
        <f>I4+I7</f>
        <v>10</v>
      </c>
      <c r="J3" s="83"/>
      <c r="K3" s="108"/>
      <c r="L3" s="11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</row>
    <row r="4" ht="12.75" customHeight="1">
      <c r="A4" s="83"/>
      <c r="B4" s="117" t="s">
        <v>74</v>
      </c>
      <c r="C4" s="118">
        <f t="shared" ref="C4:G4" si="2">+C5+C6</f>
        <v>345</v>
      </c>
      <c r="D4" s="118">
        <f t="shared" si="2"/>
        <v>345</v>
      </c>
      <c r="E4" s="118">
        <f t="shared" si="2"/>
        <v>345</v>
      </c>
      <c r="F4" s="118">
        <f t="shared" si="2"/>
        <v>345</v>
      </c>
      <c r="G4" s="118">
        <f t="shared" si="2"/>
        <v>345</v>
      </c>
      <c r="H4" s="107"/>
      <c r="I4" s="119">
        <f>+I5+I6</f>
        <v>10</v>
      </c>
      <c r="J4" s="83"/>
      <c r="K4" s="108"/>
      <c r="L4" s="120"/>
      <c r="M4" s="83"/>
      <c r="N4" s="120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</row>
    <row r="5" ht="12.75" customHeight="1" outlineLevel="1">
      <c r="A5" s="83" t="s">
        <v>21</v>
      </c>
      <c r="B5" s="121" t="s">
        <v>92</v>
      </c>
      <c r="C5" s="122">
        <v>200.0</v>
      </c>
      <c r="D5" s="122">
        <v>200.0</v>
      </c>
      <c r="E5" s="122">
        <v>200.0</v>
      </c>
      <c r="F5" s="122">
        <v>200.0</v>
      </c>
      <c r="G5" s="122">
        <v>200.0</v>
      </c>
      <c r="H5" s="107"/>
      <c r="I5" s="123">
        <f>+SUMIF('Relatório &amp; Contas Preencher'!F:F,'Valores Ref. Verão '!$A5,'Relatório &amp; Contas Preencher'!D:D)</f>
        <v>10</v>
      </c>
      <c r="J5" s="83"/>
      <c r="K5" s="108"/>
      <c r="L5" s="11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</row>
    <row r="6" ht="12.75" customHeight="1" outlineLevel="1">
      <c r="A6" s="83" t="s">
        <v>26</v>
      </c>
      <c r="B6" s="121" t="s">
        <v>93</v>
      </c>
      <c r="C6" s="122">
        <v>145.0</v>
      </c>
      <c r="D6" s="122">
        <v>145.0</v>
      </c>
      <c r="E6" s="122">
        <v>145.0</v>
      </c>
      <c r="F6" s="122">
        <v>145.0</v>
      </c>
      <c r="G6" s="122">
        <v>145.0</v>
      </c>
      <c r="H6" s="107"/>
      <c r="I6" s="123">
        <f>+SUMIF('Relatório &amp; Contas Preencher'!F:F,'Valores Ref. Verão '!$A6,'Relatório &amp; Contas Preencher'!D:D)</f>
        <v>0</v>
      </c>
      <c r="J6" s="83"/>
      <c r="K6" s="108"/>
      <c r="L6" s="11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</row>
    <row r="7" ht="12.75" customHeight="1">
      <c r="A7" s="83"/>
      <c r="B7" s="117" t="s">
        <v>75</v>
      </c>
      <c r="C7" s="124">
        <v>50.0</v>
      </c>
      <c r="D7" s="124">
        <v>50.0</v>
      </c>
      <c r="E7" s="124">
        <v>50.0</v>
      </c>
      <c r="F7" s="124">
        <v>50.0</v>
      </c>
      <c r="G7" s="124">
        <v>50.0</v>
      </c>
      <c r="H7" s="107"/>
      <c r="I7" s="119">
        <f>+I8+I9</f>
        <v>0</v>
      </c>
      <c r="J7" s="83"/>
      <c r="K7" s="125"/>
      <c r="L7" s="113"/>
      <c r="M7" s="83"/>
      <c r="N7" s="126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</row>
    <row r="8" ht="12.75" customHeight="1" outlineLevel="1">
      <c r="A8" s="83" t="s">
        <v>28</v>
      </c>
      <c r="B8" s="127" t="s">
        <v>94</v>
      </c>
      <c r="C8" s="122">
        <v>32.940000000000005</v>
      </c>
      <c r="D8" s="122">
        <v>32.940000000000005</v>
      </c>
      <c r="E8" s="122">
        <v>32.940000000000005</v>
      </c>
      <c r="F8" s="122">
        <v>32.940000000000005</v>
      </c>
      <c r="G8" s="122">
        <v>32.940000000000005</v>
      </c>
      <c r="H8" s="107"/>
      <c r="I8" s="123">
        <f>+SUMIF('Relatório &amp; Contas Preencher'!F:F,'Valores Ref. Verão '!$A8,'Relatório &amp; Contas Preencher'!D:D)</f>
        <v>0</v>
      </c>
      <c r="J8" s="83"/>
      <c r="K8" s="108"/>
      <c r="L8" s="11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</row>
    <row r="9" ht="12.75" customHeight="1" outlineLevel="1">
      <c r="A9" s="83" t="s">
        <v>30</v>
      </c>
      <c r="B9" s="127" t="s">
        <v>95</v>
      </c>
      <c r="C9" s="122">
        <v>0.0</v>
      </c>
      <c r="D9" s="122">
        <v>0.0</v>
      </c>
      <c r="E9" s="122">
        <v>0.0</v>
      </c>
      <c r="F9" s="122">
        <v>0.0</v>
      </c>
      <c r="G9" s="122">
        <v>0.0</v>
      </c>
      <c r="H9" s="107"/>
      <c r="I9" s="123">
        <f>+SUMIF('Relatório &amp; Contas Preencher'!F:F,'Valores Ref. Verão '!$A9,'Relatório &amp; Contas Preencher'!D:D)</f>
        <v>0</v>
      </c>
      <c r="J9" s="83"/>
      <c r="K9" s="108"/>
      <c r="L9" s="11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</row>
    <row r="10" ht="12.75" customHeight="1">
      <c r="A10" s="83"/>
      <c r="B10" s="128" t="s">
        <v>76</v>
      </c>
      <c r="C10" s="129">
        <f t="shared" ref="C10:G10" si="3">SUM(C11,C17,C22,C25,C28,C29+C30)</f>
        <v>2480</v>
      </c>
      <c r="D10" s="129">
        <f t="shared" si="3"/>
        <v>2830</v>
      </c>
      <c r="E10" s="129">
        <f t="shared" si="3"/>
        <v>2950</v>
      </c>
      <c r="F10" s="129">
        <f t="shared" si="3"/>
        <v>2950</v>
      </c>
      <c r="G10" s="129">
        <f t="shared" si="3"/>
        <v>3180</v>
      </c>
      <c r="H10" s="129"/>
      <c r="I10" s="129">
        <f>SUM(I11,I17,I22,I25,I28,I29)</f>
        <v>0</v>
      </c>
      <c r="J10" s="83"/>
      <c r="K10" s="108"/>
      <c r="L10" s="11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</row>
    <row r="11" ht="12.75" customHeight="1">
      <c r="A11" s="83"/>
      <c r="B11" s="130" t="s">
        <v>96</v>
      </c>
      <c r="C11" s="118">
        <f t="shared" ref="C11:G11" si="4">SUM(C12:C16)</f>
        <v>1700</v>
      </c>
      <c r="D11" s="118">
        <f t="shared" si="4"/>
        <v>2050</v>
      </c>
      <c r="E11" s="118">
        <f t="shared" si="4"/>
        <v>2170</v>
      </c>
      <c r="F11" s="118">
        <f t="shared" si="4"/>
        <v>2170</v>
      </c>
      <c r="G11" s="118">
        <f t="shared" si="4"/>
        <v>2400</v>
      </c>
      <c r="H11" s="107"/>
      <c r="I11" s="119">
        <f>+I12+I13+I14+I15+I16</f>
        <v>0</v>
      </c>
      <c r="J11" s="83"/>
      <c r="K11" s="108"/>
      <c r="L11" s="120"/>
      <c r="M11" s="83"/>
      <c r="N11" s="126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</row>
    <row r="12" ht="12.75" customHeight="1" outlineLevel="1">
      <c r="A12" s="83" t="s">
        <v>32</v>
      </c>
      <c r="B12" s="121" t="s">
        <v>97</v>
      </c>
      <c r="C12" s="131">
        <f>970+25</f>
        <v>995</v>
      </c>
      <c r="D12" s="132">
        <v>1140.0</v>
      </c>
      <c r="E12" s="132">
        <v>1170.0</v>
      </c>
      <c r="F12" s="132">
        <v>1170.0</v>
      </c>
      <c r="G12" s="132">
        <v>1215.0</v>
      </c>
      <c r="H12" s="107"/>
      <c r="I12" s="123">
        <f>+SUMIF('Relatório &amp; Contas Preencher'!F:F,'Valores Ref. Verão '!$A12,'Relatório &amp; Contas Preencher'!D:D)</f>
        <v>0</v>
      </c>
      <c r="J12" s="83"/>
      <c r="K12" s="108"/>
      <c r="L12" s="120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</row>
    <row r="13" ht="12.75" customHeight="1" outlineLevel="1">
      <c r="A13" s="83" t="s">
        <v>34</v>
      </c>
      <c r="B13" s="121" t="s">
        <v>98</v>
      </c>
      <c r="C13" s="133">
        <v>265.0</v>
      </c>
      <c r="D13" s="134">
        <v>340.0</v>
      </c>
      <c r="E13" s="134">
        <v>390.0</v>
      </c>
      <c r="F13" s="134">
        <v>390.0</v>
      </c>
      <c r="G13" s="134">
        <v>505.0</v>
      </c>
      <c r="H13" s="107"/>
      <c r="I13" s="123">
        <f>+SUMIF('Relatório &amp; Contas Preencher'!F:F,'Valores Ref. Verão '!$A13,'Relatório &amp; Contas Preencher'!D:D)</f>
        <v>0</v>
      </c>
      <c r="J13" s="83"/>
      <c r="K13" s="108"/>
      <c r="L13" s="120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</row>
    <row r="14" ht="12.75" customHeight="1" outlineLevel="1">
      <c r="A14" s="83" t="s">
        <v>36</v>
      </c>
      <c r="B14" s="121" t="s">
        <v>99</v>
      </c>
      <c r="C14" s="133">
        <v>160.0</v>
      </c>
      <c r="D14" s="135">
        <v>250.0</v>
      </c>
      <c r="E14" s="135">
        <v>270.0</v>
      </c>
      <c r="F14" s="135">
        <v>270.0</v>
      </c>
      <c r="G14" s="135">
        <v>300.0</v>
      </c>
      <c r="H14" s="107"/>
      <c r="I14" s="123">
        <f>+SUMIF('Relatório &amp; Contas Preencher'!F:F,'Valores Ref. Verão '!$A14,'Relatório &amp; Contas Preencher'!D:D)</f>
        <v>0</v>
      </c>
      <c r="J14" s="83"/>
      <c r="K14" s="108"/>
      <c r="L14" s="120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</row>
    <row r="15" ht="12.75" customHeight="1" outlineLevel="1">
      <c r="A15" s="83" t="s">
        <v>38</v>
      </c>
      <c r="B15" s="121" t="s">
        <v>100</v>
      </c>
      <c r="C15" s="133">
        <v>245.0</v>
      </c>
      <c r="D15" s="135">
        <v>285.0</v>
      </c>
      <c r="E15" s="135">
        <v>305.0</v>
      </c>
      <c r="F15" s="135">
        <v>305.0</v>
      </c>
      <c r="G15" s="135">
        <v>345.0</v>
      </c>
      <c r="H15" s="107"/>
      <c r="I15" s="123">
        <f>+SUMIF('Relatório &amp; Contas Preencher'!F:F,'Valores Ref. Verão '!$A15,'Relatório &amp; Contas Preencher'!D:D)</f>
        <v>0</v>
      </c>
      <c r="J15" s="83"/>
      <c r="K15" s="108"/>
      <c r="L15" s="120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</row>
    <row r="16" ht="12.75" customHeight="1" outlineLevel="1">
      <c r="A16" s="83" t="s">
        <v>40</v>
      </c>
      <c r="B16" s="121" t="s">
        <v>101</v>
      </c>
      <c r="C16" s="136">
        <v>35.0</v>
      </c>
      <c r="D16" s="137">
        <v>35.0</v>
      </c>
      <c r="E16" s="137">
        <v>35.0</v>
      </c>
      <c r="F16" s="137">
        <v>35.0</v>
      </c>
      <c r="G16" s="137">
        <v>35.0</v>
      </c>
      <c r="H16" s="107"/>
      <c r="I16" s="123">
        <f>+SUMIF('Relatório &amp; Contas Preencher'!F:F,'Valores Ref. Verão '!$A16,'Relatório &amp; Contas Preencher'!D:D)</f>
        <v>0</v>
      </c>
      <c r="J16" s="83"/>
      <c r="K16" s="108"/>
      <c r="L16" s="120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</row>
    <row r="17" ht="12.75" customHeight="1">
      <c r="A17" s="83"/>
      <c r="B17" s="130" t="s">
        <v>102</v>
      </c>
      <c r="C17" s="118">
        <f t="shared" ref="C17:G17" si="5">SUM(C18:C21)</f>
        <v>185</v>
      </c>
      <c r="D17" s="118">
        <f t="shared" si="5"/>
        <v>185</v>
      </c>
      <c r="E17" s="118">
        <f t="shared" si="5"/>
        <v>185</v>
      </c>
      <c r="F17" s="118">
        <f t="shared" si="5"/>
        <v>185</v>
      </c>
      <c r="G17" s="118">
        <f t="shared" si="5"/>
        <v>185</v>
      </c>
      <c r="H17" s="107"/>
      <c r="I17" s="118">
        <f>+I18+I19+I20+I21</f>
        <v>0</v>
      </c>
      <c r="J17" s="83"/>
      <c r="K17" s="108"/>
      <c r="L17" s="11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</row>
    <row r="18" ht="12.75" hidden="1" customHeight="1" outlineLevel="1">
      <c r="A18" s="83" t="s">
        <v>42</v>
      </c>
      <c r="B18" s="121" t="s">
        <v>103</v>
      </c>
      <c r="C18" s="122">
        <v>0.0</v>
      </c>
      <c r="D18" s="122">
        <v>0.0</v>
      </c>
      <c r="E18" s="122">
        <v>0.0</v>
      </c>
      <c r="F18" s="122">
        <v>0.0</v>
      </c>
      <c r="G18" s="122">
        <v>0.0</v>
      </c>
      <c r="H18" s="107"/>
      <c r="I18" s="123">
        <f>+SUMIF('Relatório &amp; Contas Preencher'!F:F,'Valores Ref. Verão '!$A18,'Relatório &amp; Contas Preencher'!D:D)</f>
        <v>0</v>
      </c>
      <c r="J18" s="83"/>
      <c r="K18" s="108"/>
      <c r="L18" s="11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</row>
    <row r="19" ht="12.75" customHeight="1" outlineLevel="1">
      <c r="A19" s="83" t="s">
        <v>44</v>
      </c>
      <c r="B19" s="121" t="s">
        <v>104</v>
      </c>
      <c r="C19" s="138">
        <v>55.00000000000001</v>
      </c>
      <c r="D19" s="138">
        <v>55.00000000000001</v>
      </c>
      <c r="E19" s="138">
        <v>55.00000000000001</v>
      </c>
      <c r="F19" s="138">
        <v>55.00000000000001</v>
      </c>
      <c r="G19" s="138">
        <v>55.00000000000001</v>
      </c>
      <c r="H19" s="107"/>
      <c r="I19" s="123">
        <f>+SUMIF('Relatório &amp; Contas Preencher'!F:F,'Valores Ref. Verão '!$A19,'Relatório &amp; Contas Preencher'!D:D)</f>
        <v>0</v>
      </c>
      <c r="J19" s="83"/>
      <c r="K19" s="108"/>
      <c r="L19" s="11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</row>
    <row r="20" ht="12.75" customHeight="1" outlineLevel="1">
      <c r="A20" s="83" t="s">
        <v>46</v>
      </c>
      <c r="B20" s="121" t="s">
        <v>105</v>
      </c>
      <c r="C20" s="138">
        <v>100.0</v>
      </c>
      <c r="D20" s="138">
        <v>100.0</v>
      </c>
      <c r="E20" s="138">
        <v>100.0</v>
      </c>
      <c r="F20" s="138">
        <v>100.0</v>
      </c>
      <c r="G20" s="138">
        <v>100.0</v>
      </c>
      <c r="H20" s="107"/>
      <c r="I20" s="123">
        <f>+SUMIF('Relatório &amp; Contas Preencher'!F:F,'Valores Ref. Verão '!$A20,'Relatório &amp; Contas Preencher'!D:D)</f>
        <v>0</v>
      </c>
      <c r="J20" s="83"/>
      <c r="K20" s="108"/>
      <c r="L20" s="11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</row>
    <row r="21" ht="13.5" customHeight="1">
      <c r="A21" s="83" t="s">
        <v>48</v>
      </c>
      <c r="B21" s="121" t="s">
        <v>106</v>
      </c>
      <c r="C21" s="138">
        <v>30.0</v>
      </c>
      <c r="D21" s="138">
        <v>30.0</v>
      </c>
      <c r="E21" s="138">
        <v>30.0</v>
      </c>
      <c r="F21" s="138">
        <v>30.0</v>
      </c>
      <c r="G21" s="138">
        <v>30.0</v>
      </c>
      <c r="H21" s="107"/>
      <c r="I21" s="123">
        <f>+SUMIF('Relatório &amp; Contas Preencher'!F:F,'Valores Ref. Verão '!$A21,'Relatório &amp; Contas Preencher'!D:D)</f>
        <v>0</v>
      </c>
      <c r="J21" s="83"/>
      <c r="K21" s="108"/>
      <c r="L21" s="11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</row>
    <row r="22" ht="13.5" customHeight="1">
      <c r="A22" s="83"/>
      <c r="B22" s="130" t="s">
        <v>107</v>
      </c>
      <c r="C22" s="118">
        <f t="shared" ref="C22:G22" si="6">+C23+C24</f>
        <v>155</v>
      </c>
      <c r="D22" s="118">
        <f t="shared" si="6"/>
        <v>155</v>
      </c>
      <c r="E22" s="118">
        <f t="shared" si="6"/>
        <v>155</v>
      </c>
      <c r="F22" s="118">
        <f t="shared" si="6"/>
        <v>155</v>
      </c>
      <c r="G22" s="118">
        <f t="shared" si="6"/>
        <v>155</v>
      </c>
      <c r="H22" s="107"/>
      <c r="I22" s="118">
        <f>+I23+I24</f>
        <v>0</v>
      </c>
      <c r="J22" s="83"/>
      <c r="K22" s="108"/>
      <c r="L22" s="11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</row>
    <row r="23" ht="13.5" customHeight="1" outlineLevel="1">
      <c r="A23" s="83" t="s">
        <v>50</v>
      </c>
      <c r="B23" s="121" t="s">
        <v>108</v>
      </c>
      <c r="C23" s="139">
        <v>65.0</v>
      </c>
      <c r="D23" s="140">
        <v>65.0</v>
      </c>
      <c r="E23" s="140">
        <v>65.0</v>
      </c>
      <c r="F23" s="140">
        <v>65.0</v>
      </c>
      <c r="G23" s="140">
        <v>65.0</v>
      </c>
      <c r="H23" s="107"/>
      <c r="I23" s="123">
        <f>+SUMIF('Relatório &amp; Contas Preencher'!F:F,'Valores Ref. Verão '!$A23,'Relatório &amp; Contas Preencher'!D:D)</f>
        <v>0</v>
      </c>
      <c r="J23" s="83"/>
      <c r="K23" s="125"/>
      <c r="L23" s="120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</row>
    <row r="24" ht="13.5" customHeight="1" outlineLevel="1">
      <c r="A24" s="83" t="s">
        <v>52</v>
      </c>
      <c r="B24" s="121" t="s">
        <v>109</v>
      </c>
      <c r="C24" s="141">
        <v>90.0</v>
      </c>
      <c r="D24" s="142">
        <v>90.0</v>
      </c>
      <c r="E24" s="142">
        <v>90.0</v>
      </c>
      <c r="F24" s="142">
        <v>90.0</v>
      </c>
      <c r="G24" s="142">
        <v>90.0</v>
      </c>
      <c r="H24" s="107"/>
      <c r="I24" s="123">
        <f>+SUMIF('Relatório &amp; Contas Preencher'!F:F,'Valores Ref. Verão '!$A24,'Relatório &amp; Contas Preencher'!D:D)</f>
        <v>0</v>
      </c>
      <c r="J24" s="83"/>
      <c r="K24" s="108"/>
      <c r="L24" s="113"/>
      <c r="M24" s="83"/>
      <c r="N24" s="126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</row>
    <row r="25" ht="13.5" customHeight="1">
      <c r="A25" s="83"/>
      <c r="B25" s="130" t="s">
        <v>110</v>
      </c>
      <c r="C25" s="118">
        <f t="shared" ref="C25:G25" si="7">+C26+C27</f>
        <v>310</v>
      </c>
      <c r="D25" s="118">
        <f t="shared" si="7"/>
        <v>310</v>
      </c>
      <c r="E25" s="118">
        <f t="shared" si="7"/>
        <v>310</v>
      </c>
      <c r="F25" s="118">
        <f t="shared" si="7"/>
        <v>310</v>
      </c>
      <c r="G25" s="118">
        <f t="shared" si="7"/>
        <v>310</v>
      </c>
      <c r="H25" s="107"/>
      <c r="I25" s="118">
        <f>+I26+I27</f>
        <v>0</v>
      </c>
      <c r="J25" s="83"/>
      <c r="K25" s="108"/>
      <c r="L25" s="11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</row>
    <row r="26" ht="12.75" customHeight="1" outlineLevel="1">
      <c r="A26" s="83" t="s">
        <v>54</v>
      </c>
      <c r="B26" s="121" t="s">
        <v>111</v>
      </c>
      <c r="C26" s="143">
        <v>310.0</v>
      </c>
      <c r="D26" s="143">
        <v>310.0</v>
      </c>
      <c r="E26" s="143">
        <v>310.0</v>
      </c>
      <c r="F26" s="143">
        <v>310.0</v>
      </c>
      <c r="G26" s="143">
        <v>310.0</v>
      </c>
      <c r="H26" s="107"/>
      <c r="I26" s="123">
        <f>+SUMIF('Relatório &amp; Contas Preencher'!F:F,'Valores Ref. Verão '!$A26,'Relatório &amp; Contas Preencher'!D:D)</f>
        <v>0</v>
      </c>
      <c r="J26" s="83"/>
      <c r="K26" s="108"/>
      <c r="L26" s="11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</row>
    <row r="27" ht="12.75" customHeight="1" outlineLevel="1">
      <c r="A27" s="83" t="s">
        <v>56</v>
      </c>
      <c r="B27" s="121" t="s">
        <v>112</v>
      </c>
      <c r="C27" s="143">
        <v>0.0</v>
      </c>
      <c r="D27" s="143">
        <v>0.0</v>
      </c>
      <c r="E27" s="143">
        <v>0.0</v>
      </c>
      <c r="F27" s="143">
        <v>0.0</v>
      </c>
      <c r="G27" s="143">
        <v>0.0</v>
      </c>
      <c r="H27" s="107"/>
      <c r="I27" s="123">
        <f>+SUMIF('Relatório &amp; Contas Preencher'!F:F,'Valores Ref. Verão '!$A27,'Relatório &amp; Contas Preencher'!D:D)</f>
        <v>0</v>
      </c>
      <c r="J27" s="83"/>
      <c r="K27" s="108"/>
      <c r="L27" s="11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</row>
    <row r="28" ht="12.75" customHeight="1">
      <c r="A28" s="83" t="s">
        <v>58</v>
      </c>
      <c r="B28" s="130" t="s">
        <v>113</v>
      </c>
      <c r="C28" s="124">
        <v>50.0</v>
      </c>
      <c r="D28" s="124">
        <v>50.0</v>
      </c>
      <c r="E28" s="124">
        <v>50.0</v>
      </c>
      <c r="F28" s="124">
        <v>50.0</v>
      </c>
      <c r="G28" s="124">
        <v>50.0</v>
      </c>
      <c r="H28" s="107"/>
      <c r="I28" s="119">
        <f>+SUMIF('Relatório &amp; Contas Preencher'!F:F,'Valores Ref. Verão '!$A28,'Relatório &amp; Contas Preencher'!D:D)</f>
        <v>0</v>
      </c>
      <c r="J28" s="83"/>
      <c r="K28" s="125"/>
      <c r="L28" s="120"/>
      <c r="M28" s="83"/>
      <c r="N28" s="126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</row>
    <row r="29" ht="12.75" customHeight="1">
      <c r="A29" s="83" t="s">
        <v>60</v>
      </c>
      <c r="B29" s="130" t="s">
        <v>114</v>
      </c>
      <c r="C29" s="118">
        <v>0.0</v>
      </c>
      <c r="D29" s="118">
        <v>0.0</v>
      </c>
      <c r="E29" s="118">
        <v>0.0</v>
      </c>
      <c r="F29" s="118">
        <v>0.0</v>
      </c>
      <c r="G29" s="118">
        <v>0.0</v>
      </c>
      <c r="H29" s="107"/>
      <c r="I29" s="119">
        <f>+SUMIF('Relatório &amp; Contas Preencher'!F:F,'Valores Ref. Verão '!$A29,'Relatório &amp; Contas Preencher'!D:D)</f>
        <v>0</v>
      </c>
      <c r="J29" s="83"/>
      <c r="K29" s="108"/>
      <c r="L29" s="11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</row>
    <row r="30" ht="12.75" customHeight="1">
      <c r="A30" s="144" t="s">
        <v>115</v>
      </c>
      <c r="B30" s="130" t="s">
        <v>116</v>
      </c>
      <c r="C30" s="118">
        <v>80.0</v>
      </c>
      <c r="D30" s="118">
        <v>80.0</v>
      </c>
      <c r="E30" s="118">
        <v>80.0</v>
      </c>
      <c r="F30" s="118">
        <v>80.0</v>
      </c>
      <c r="G30" s="118">
        <v>80.0</v>
      </c>
      <c r="H30" s="107"/>
      <c r="I30" s="119">
        <f>+SUMIF('Relatório &amp; Contas Preencher'!F:F,'Valores Ref. Verão '!$A30,'Relatório &amp; Contas Preencher'!D:D)</f>
        <v>0</v>
      </c>
      <c r="J30" s="83"/>
      <c r="K30" s="108"/>
      <c r="L30" s="11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</row>
    <row r="31" ht="13.5" customHeight="1">
      <c r="A31" s="83"/>
      <c r="B31" s="145" t="s">
        <v>117</v>
      </c>
      <c r="C31" s="146">
        <f t="shared" ref="C31:G31" si="8">1.098*50</f>
        <v>54.9</v>
      </c>
      <c r="D31" s="146">
        <f t="shared" si="8"/>
        <v>54.9</v>
      </c>
      <c r="E31" s="146">
        <f t="shared" si="8"/>
        <v>54.9</v>
      </c>
      <c r="F31" s="146">
        <f t="shared" si="8"/>
        <v>54.9</v>
      </c>
      <c r="G31" s="146">
        <f t="shared" si="8"/>
        <v>54.9</v>
      </c>
      <c r="H31" s="107"/>
      <c r="I31" s="116">
        <f>+SUMIF('Relatório &amp; Contas Preencher'!F:F,'Valores Ref. Verão '!$A31,'Relatório &amp; Contas Preencher'!D:D)</f>
        <v>0</v>
      </c>
      <c r="J31" s="83"/>
      <c r="K31" s="108"/>
      <c r="L31" s="108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</row>
    <row r="32" ht="12.75" customHeight="1">
      <c r="A32" s="83"/>
      <c r="B32" s="147" t="s">
        <v>118</v>
      </c>
      <c r="C32" s="148">
        <f t="shared" ref="C32:G32" si="9">+C4+C7+C11+C17+C22+C25+C28+C29+C30+C31</f>
        <v>2929.9</v>
      </c>
      <c r="D32" s="148">
        <f t="shared" si="9"/>
        <v>3279.9</v>
      </c>
      <c r="E32" s="148">
        <f t="shared" si="9"/>
        <v>3399.9</v>
      </c>
      <c r="F32" s="148">
        <f t="shared" si="9"/>
        <v>3399.9</v>
      </c>
      <c r="G32" s="148">
        <f t="shared" si="9"/>
        <v>3629.9</v>
      </c>
      <c r="H32" s="107"/>
      <c r="I32" s="149">
        <f>+I4+I7+I11+I17+I22+I25+I28+I29+I30+I31</f>
        <v>10</v>
      </c>
      <c r="J32" s="83"/>
      <c r="K32" s="113"/>
      <c r="L32" s="108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</row>
    <row r="33" ht="12.75" customHeight="1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108"/>
      <c r="L33" s="108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</row>
    <row r="34" ht="12.75" customHeight="1">
      <c r="A34" s="83"/>
      <c r="B34" s="150" t="s">
        <v>119</v>
      </c>
      <c r="C34" s="83"/>
      <c r="D34" s="83"/>
      <c r="E34" s="83"/>
      <c r="F34" s="83"/>
      <c r="G34" s="83"/>
      <c r="H34" s="83"/>
      <c r="I34" s="83"/>
      <c r="J34" s="83"/>
      <c r="K34" s="108"/>
      <c r="L34" s="108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</row>
    <row r="35" ht="12.75" customHeight="1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108"/>
      <c r="L35" s="108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</row>
    <row r="36" ht="15.75" customHeight="1">
      <c r="A36" s="83"/>
      <c r="B36" s="83"/>
      <c r="C36" s="83"/>
      <c r="D36" s="83"/>
      <c r="E36" s="83"/>
      <c r="F36" s="83"/>
      <c r="G36" s="83"/>
      <c r="H36" s="83"/>
      <c r="I36" s="151"/>
      <c r="J36" s="83"/>
      <c r="K36" s="108"/>
      <c r="L36" s="108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</row>
    <row r="37" ht="15.75" customHeight="1">
      <c r="A37" s="83"/>
      <c r="B37" s="83"/>
      <c r="C37" s="83"/>
      <c r="D37" s="83"/>
      <c r="E37" s="83"/>
      <c r="F37" s="83"/>
      <c r="G37" s="83"/>
      <c r="H37" s="83"/>
      <c r="I37" s="151"/>
      <c r="J37" s="83"/>
      <c r="K37" s="108"/>
      <c r="L37" s="108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</row>
    <row r="38" ht="15.75" customHeight="1">
      <c r="A38" s="83"/>
      <c r="B38" s="83"/>
      <c r="C38" s="83"/>
      <c r="D38" s="83"/>
      <c r="E38" s="144"/>
      <c r="F38" s="83"/>
      <c r="G38" s="83"/>
      <c r="H38" s="83"/>
      <c r="I38" s="151"/>
      <c r="J38" s="83"/>
      <c r="K38" s="108"/>
      <c r="L38" s="108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</row>
    <row r="39" ht="15.75" customHeight="1">
      <c r="A39" s="83"/>
      <c r="B39" s="83"/>
      <c r="C39" s="83"/>
      <c r="D39" s="83"/>
      <c r="E39" s="83"/>
      <c r="F39" s="83"/>
      <c r="G39" s="83"/>
      <c r="H39" s="83"/>
      <c r="I39" s="151"/>
      <c r="J39" s="83"/>
      <c r="K39" s="108"/>
      <c r="L39" s="108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</row>
    <row r="40" ht="15.75" customHeight="1">
      <c r="A40" s="83"/>
      <c r="B40" s="83"/>
      <c r="C40" s="83"/>
      <c r="D40" s="83"/>
      <c r="E40" s="83"/>
      <c r="F40" s="83"/>
      <c r="G40" s="83"/>
      <c r="H40" s="83"/>
      <c r="I40" s="151"/>
      <c r="J40" s="83"/>
      <c r="K40" s="108"/>
      <c r="L40" s="108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</row>
    <row r="41" ht="15.75" customHeight="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108"/>
      <c r="L41" s="108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</row>
    <row r="42" ht="15.75" customHeight="1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108"/>
      <c r="L42" s="108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</row>
    <row r="43" ht="15.75" customHeight="1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108"/>
      <c r="L43" s="108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</row>
    <row r="44" ht="15.75" customHeight="1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108"/>
      <c r="L44" s="108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</row>
    <row r="45" ht="15.75" customHeight="1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108"/>
      <c r="L45" s="108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</row>
    <row r="46" ht="15.75" customHeight="1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108"/>
      <c r="L46" s="108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</row>
    <row r="47" ht="15.75" customHeight="1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108"/>
      <c r="L47" s="108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</row>
    <row r="48" ht="15.75" customHeight="1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108"/>
      <c r="L48" s="108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</row>
    <row r="49" ht="15.75" customHeight="1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108"/>
      <c r="L49" s="108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</row>
    <row r="50" ht="15.75" customHeight="1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108"/>
      <c r="L50" s="108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</row>
    <row r="51" ht="15.75" customHeight="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108"/>
      <c r="L51" s="108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</row>
    <row r="52" ht="15.75" customHeight="1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108"/>
      <c r="L52" s="108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</row>
    <row r="53" ht="15.75" customHeight="1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108"/>
      <c r="L53" s="108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</row>
    <row r="54" ht="15.75" customHeight="1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108"/>
      <c r="L54" s="108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</row>
    <row r="55" ht="15.75" customHeight="1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108"/>
      <c r="L55" s="108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</row>
    <row r="56" ht="15.75" customHeight="1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108"/>
      <c r="L56" s="108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</row>
    <row r="57" ht="15.75" customHeight="1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108"/>
      <c r="L57" s="108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</row>
    <row r="58" ht="15.75" customHeight="1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108"/>
      <c r="L58" s="108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</row>
    <row r="59" ht="15.75" customHeight="1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108"/>
      <c r="L59" s="108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</row>
    <row r="60" ht="15.75" customHeight="1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108"/>
      <c r="L60" s="108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</row>
    <row r="61" ht="15.7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108"/>
      <c r="L61" s="108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</row>
    <row r="62" ht="15.75" customHeight="1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108"/>
      <c r="L62" s="108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</row>
    <row r="63" ht="15.75" customHeight="1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108"/>
      <c r="L63" s="108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</row>
    <row r="64" ht="15.75" customHeight="1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108"/>
      <c r="L64" s="108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</row>
    <row r="65" ht="15.7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108"/>
      <c r="L65" s="108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</row>
    <row r="66" ht="15.75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108"/>
      <c r="L66" s="108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</row>
    <row r="67" ht="15.75" customHeight="1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108"/>
      <c r="L67" s="108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</row>
    <row r="68" ht="15.75" customHeight="1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108"/>
      <c r="L68" s="108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</row>
    <row r="69" ht="15.75" customHeight="1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108"/>
      <c r="L69" s="108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</row>
    <row r="70" ht="15.75" customHeight="1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108"/>
      <c r="L70" s="108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</row>
    <row r="71" ht="15.75" customHeight="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108"/>
      <c r="L71" s="108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</row>
    <row r="72" ht="15.75" customHeight="1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108"/>
      <c r="L72" s="108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</row>
    <row r="73" ht="15.75" customHeight="1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108"/>
      <c r="L73" s="108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</row>
    <row r="74" ht="15.7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108"/>
      <c r="L74" s="108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</row>
    <row r="75" ht="15.75" customHeight="1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108"/>
      <c r="L75" s="108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</row>
    <row r="76" ht="15.75" customHeight="1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108"/>
      <c r="L76" s="108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</row>
    <row r="77" ht="15.7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108"/>
      <c r="L77" s="108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</row>
    <row r="78" ht="15.75" customHeight="1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108"/>
      <c r="L78" s="108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</row>
    <row r="79" ht="15.75" customHeight="1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108"/>
      <c r="L79" s="108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</row>
    <row r="80" ht="15.75" customHeight="1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108"/>
      <c r="L80" s="108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</row>
    <row r="81" ht="15.75" customHeight="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108"/>
      <c r="L81" s="108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</row>
    <row r="82" ht="15.75" customHeight="1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108"/>
      <c r="L82" s="108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</row>
    <row r="83" ht="15.75" customHeight="1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108"/>
      <c r="L83" s="108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</row>
    <row r="84" ht="15.75" customHeight="1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108"/>
      <c r="L84" s="108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</row>
    <row r="85" ht="15.75" customHeight="1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108"/>
      <c r="L85" s="108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</row>
    <row r="86" ht="15.75" customHeight="1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108"/>
      <c r="L86" s="108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</row>
    <row r="87" ht="15.75" customHeight="1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108"/>
      <c r="L87" s="108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</row>
    <row r="88" ht="15.75" customHeight="1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108"/>
      <c r="L88" s="108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</row>
    <row r="89" ht="15.75" customHeight="1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108"/>
      <c r="L89" s="108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</row>
    <row r="90" ht="15.75" customHeight="1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108"/>
      <c r="L90" s="108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</row>
    <row r="91" ht="15.75" customHeight="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108"/>
      <c r="L91" s="108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</row>
    <row r="92" ht="15.75" customHeight="1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108"/>
      <c r="L92" s="108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</row>
    <row r="93" ht="15.75" customHeight="1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108"/>
      <c r="L93" s="108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</row>
    <row r="94" ht="15.75" customHeight="1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108"/>
      <c r="L94" s="108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</row>
    <row r="95" ht="15.75" customHeight="1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108"/>
      <c r="L95" s="108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</row>
    <row r="96" ht="15.75" customHeight="1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108"/>
      <c r="L96" s="108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</row>
    <row r="97" ht="15.75" customHeight="1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108"/>
      <c r="L97" s="108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</row>
    <row r="98" ht="15.75" customHeight="1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108"/>
      <c r="L98" s="108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</row>
    <row r="99" ht="15.75" customHeight="1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108"/>
      <c r="L99" s="108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</row>
    <row r="100" ht="15.7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108"/>
      <c r="L100" s="108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</row>
    <row r="101" ht="15.7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108"/>
      <c r="L101" s="108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</row>
    <row r="102" ht="15.7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108"/>
      <c r="L102" s="108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</row>
    <row r="103" ht="15.7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108"/>
      <c r="L103" s="108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</row>
    <row r="104" ht="15.7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108"/>
      <c r="L104" s="108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</row>
    <row r="105" ht="15.7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108"/>
      <c r="L105" s="108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</row>
    <row r="106" ht="15.7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108"/>
      <c r="L106" s="108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</row>
    <row r="107" ht="15.7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108"/>
      <c r="L107" s="108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</row>
    <row r="108" ht="15.7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108"/>
      <c r="L108" s="108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</row>
    <row r="109" ht="15.7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108"/>
      <c r="L109" s="108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</row>
    <row r="110" ht="15.7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108"/>
      <c r="L110" s="108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</row>
    <row r="111" ht="15.7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108"/>
      <c r="L111" s="108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</row>
    <row r="112" ht="15.7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108"/>
      <c r="L112" s="108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</row>
    <row r="113" ht="15.7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108"/>
      <c r="L113" s="108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</row>
    <row r="114" ht="15.7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108"/>
      <c r="L114" s="108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</row>
    <row r="115" ht="15.7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108"/>
      <c r="L115" s="108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</row>
    <row r="116" ht="15.7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108"/>
      <c r="L116" s="108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</row>
    <row r="117" ht="15.7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108"/>
      <c r="L117" s="108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</row>
    <row r="118" ht="15.7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108"/>
      <c r="L118" s="108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</row>
    <row r="119" ht="15.7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108"/>
      <c r="L119" s="108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</row>
    <row r="120" ht="15.7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108"/>
      <c r="L120" s="108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</row>
    <row r="121" ht="15.7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108"/>
      <c r="L121" s="108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</row>
    <row r="122" ht="15.7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108"/>
      <c r="L122" s="108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</row>
    <row r="123" ht="15.7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108"/>
      <c r="L123" s="108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</row>
    <row r="124" ht="15.7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108"/>
      <c r="L124" s="108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</row>
    <row r="125" ht="15.7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108"/>
      <c r="L125" s="108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</row>
    <row r="126" ht="15.7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108"/>
      <c r="L126" s="108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</row>
    <row r="127" ht="15.7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108"/>
      <c r="L127" s="108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</row>
    <row r="128" ht="15.7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108"/>
      <c r="L128" s="108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</row>
    <row r="129" ht="15.7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108"/>
      <c r="L129" s="108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</row>
    <row r="130" ht="15.7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108"/>
      <c r="L130" s="108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</row>
    <row r="131" ht="15.7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108"/>
      <c r="L131" s="108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</row>
    <row r="132" ht="15.7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108"/>
      <c r="L132" s="108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</row>
    <row r="133" ht="15.7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108"/>
      <c r="L133" s="108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</row>
    <row r="134" ht="15.7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108"/>
      <c r="L134" s="108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</row>
    <row r="135" ht="15.7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108"/>
      <c r="L135" s="108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</row>
    <row r="136" ht="15.7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108"/>
      <c r="L136" s="108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</row>
    <row r="137" ht="15.7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108"/>
      <c r="L137" s="108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</row>
    <row r="138" ht="15.7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108"/>
      <c r="L138" s="108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</row>
    <row r="139" ht="15.7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108"/>
      <c r="L139" s="108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</row>
    <row r="140" ht="15.7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108"/>
      <c r="L140" s="108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</row>
    <row r="141" ht="15.7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108"/>
      <c r="L141" s="108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</row>
    <row r="142" ht="15.7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108"/>
      <c r="L142" s="108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</row>
    <row r="143" ht="15.7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108"/>
      <c r="L143" s="108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</row>
    <row r="144" ht="15.7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108"/>
      <c r="L144" s="108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</row>
    <row r="145" ht="15.7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108"/>
      <c r="L145" s="108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</row>
    <row r="146" ht="15.7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108"/>
      <c r="L146" s="108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</row>
    <row r="147" ht="15.7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108"/>
      <c r="L147" s="108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</row>
    <row r="148" ht="15.7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108"/>
      <c r="L148" s="108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</row>
    <row r="149" ht="15.7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108"/>
      <c r="L149" s="108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</row>
    <row r="150" ht="15.7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108"/>
      <c r="L150" s="108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</row>
    <row r="151" ht="15.7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108"/>
      <c r="L151" s="108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</row>
    <row r="152" ht="15.7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108"/>
      <c r="L152" s="108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</row>
    <row r="153" ht="15.7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108"/>
      <c r="L153" s="108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</row>
    <row r="154" ht="15.7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108"/>
      <c r="L154" s="108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</row>
    <row r="155" ht="15.7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108"/>
      <c r="L155" s="108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</row>
    <row r="156" ht="15.7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108"/>
      <c r="L156" s="108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</row>
    <row r="157" ht="15.7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108"/>
      <c r="L157" s="108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</row>
    <row r="158" ht="15.7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108"/>
      <c r="L158" s="108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</row>
    <row r="159" ht="15.7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108"/>
      <c r="L159" s="108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</row>
    <row r="160" ht="15.7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108"/>
      <c r="L160" s="108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</row>
    <row r="161" ht="15.7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108"/>
      <c r="L161" s="108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</row>
    <row r="162" ht="15.7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108"/>
      <c r="L162" s="108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</row>
    <row r="163" ht="15.7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108"/>
      <c r="L163" s="108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</row>
    <row r="164" ht="15.7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108"/>
      <c r="L164" s="108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</row>
    <row r="165" ht="15.7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108"/>
      <c r="L165" s="108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</row>
    <row r="166" ht="15.7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108"/>
      <c r="L166" s="108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</row>
    <row r="167" ht="15.7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108"/>
      <c r="L167" s="108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</row>
    <row r="168" ht="15.7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108"/>
      <c r="L168" s="108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</row>
    <row r="169" ht="15.7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108"/>
      <c r="L169" s="108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</row>
    <row r="170" ht="15.7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108"/>
      <c r="L170" s="108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</row>
    <row r="171" ht="15.7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108"/>
      <c r="L171" s="108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</row>
    <row r="172" ht="15.7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108"/>
      <c r="L172" s="108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</row>
    <row r="173" ht="15.7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108"/>
      <c r="L173" s="108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</row>
    <row r="174" ht="15.7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108"/>
      <c r="L174" s="108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</row>
    <row r="175" ht="15.7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108"/>
      <c r="L175" s="108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</row>
    <row r="176" ht="15.7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108"/>
      <c r="L176" s="108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</row>
    <row r="177" ht="15.7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108"/>
      <c r="L177" s="108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</row>
    <row r="178" ht="15.7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108"/>
      <c r="L178" s="108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</row>
    <row r="179" ht="15.7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108"/>
      <c r="L179" s="108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</row>
    <row r="180" ht="15.7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108"/>
      <c r="L180" s="108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</row>
    <row r="181" ht="15.7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108"/>
      <c r="L181" s="108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</row>
    <row r="182" ht="15.7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108"/>
      <c r="L182" s="108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</row>
    <row r="183" ht="15.7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108"/>
      <c r="L183" s="108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</row>
    <row r="184" ht="15.7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108"/>
      <c r="L184" s="108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</row>
    <row r="185" ht="15.7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108"/>
      <c r="L185" s="108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</row>
    <row r="186" ht="15.7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108"/>
      <c r="L186" s="108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</row>
    <row r="187" ht="15.7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108"/>
      <c r="L187" s="108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</row>
    <row r="188" ht="15.7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108"/>
      <c r="L188" s="108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</row>
    <row r="189" ht="15.7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108"/>
      <c r="L189" s="108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</row>
    <row r="190" ht="15.7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108"/>
      <c r="L190" s="108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</row>
    <row r="191" ht="15.7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108"/>
      <c r="L191" s="108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</row>
    <row r="192" ht="15.7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108"/>
      <c r="L192" s="108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</row>
    <row r="193" ht="15.7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108"/>
      <c r="L193" s="108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</row>
    <row r="194" ht="15.7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108"/>
      <c r="L194" s="108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</row>
    <row r="195" ht="15.7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108"/>
      <c r="L195" s="108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</row>
    <row r="196" ht="15.7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108"/>
      <c r="L196" s="108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</row>
    <row r="197" ht="15.7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108"/>
      <c r="L197" s="108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</row>
    <row r="198" ht="15.7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108"/>
      <c r="L198" s="108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</row>
    <row r="199" ht="15.7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108"/>
      <c r="L199" s="108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</row>
    <row r="200" ht="15.7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108"/>
      <c r="L200" s="108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</row>
    <row r="201" ht="15.7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108"/>
      <c r="L201" s="108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</row>
    <row r="202" ht="15.7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108"/>
      <c r="L202" s="108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</row>
    <row r="203" ht="15.7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108"/>
      <c r="L203" s="108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</row>
    <row r="204" ht="15.7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108"/>
      <c r="L204" s="108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</row>
    <row r="205" ht="15.7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108"/>
      <c r="L205" s="108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</row>
    <row r="206" ht="15.7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108"/>
      <c r="L206" s="108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</row>
    <row r="207" ht="15.7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108"/>
      <c r="L207" s="108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</row>
    <row r="208" ht="15.7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108"/>
      <c r="L208" s="108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</row>
    <row r="209" ht="15.7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108"/>
      <c r="L209" s="108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</row>
    <row r="210" ht="15.7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108"/>
      <c r="L210" s="108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</row>
    <row r="211" ht="15.7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108"/>
      <c r="L211" s="108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</row>
    <row r="212" ht="15.7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108"/>
      <c r="L212" s="108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</row>
    <row r="213" ht="15.7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108"/>
      <c r="L213" s="108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</row>
    <row r="214" ht="15.7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108"/>
      <c r="L214" s="108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</row>
    <row r="215" ht="15.7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108"/>
      <c r="L215" s="108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</row>
    <row r="216" ht="15.7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108"/>
      <c r="L216" s="108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</row>
    <row r="217" ht="15.7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108"/>
      <c r="L217" s="108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</row>
    <row r="218" ht="15.7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108"/>
      <c r="L218" s="108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</row>
    <row r="219" ht="15.7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108"/>
      <c r="L219" s="108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</row>
    <row r="220" ht="15.7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108"/>
      <c r="L220" s="108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</row>
    <row r="221" ht="15.75" customHeight="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108"/>
      <c r="L221" s="108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</row>
    <row r="222" ht="15.75" customHeight="1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108"/>
      <c r="L222" s="108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</row>
    <row r="223" ht="15.75" customHeight="1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108"/>
      <c r="L223" s="108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</row>
    <row r="224" ht="15.75" customHeight="1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108"/>
      <c r="L224" s="108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</row>
    <row r="225" ht="15.75" customHeight="1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108"/>
      <c r="L225" s="108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</row>
    <row r="226" ht="15.75" customHeight="1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108"/>
      <c r="L226" s="108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</row>
    <row r="227" ht="15.75" customHeight="1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108"/>
      <c r="L227" s="108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</row>
    <row r="228" ht="15.7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108"/>
      <c r="L228" s="108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</row>
    <row r="229" ht="15.7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108"/>
      <c r="L229" s="108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</row>
    <row r="230" ht="15.7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108"/>
      <c r="L230" s="108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</row>
    <row r="231" ht="15.7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108"/>
      <c r="L231" s="108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</row>
    <row r="232" ht="15.7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108"/>
      <c r="L232" s="108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</row>
    <row r="233" ht="15.7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108"/>
      <c r="L233" s="108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bottom="4.145827179105846" footer="0.0" header="0.0" left="0.31496062992125984" right="0.31496062992125984" top="0.8593169062146663"/>
  <pageSetup paperSize="11" orientation="portrait"/>
  <headerFooter>
    <oddHeader>&amp;C&amp;F &amp;A</oddHeader>
    <oddFooter>&amp;R&amp;D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5.0"/>
    <col customWidth="1" min="2" max="2" width="142.57"/>
    <col customWidth="1" min="3" max="22" width="9.14"/>
  </cols>
  <sheetData>
    <row r="1" ht="30.0" customHeight="1">
      <c r="A1" s="152" t="s">
        <v>120</v>
      </c>
      <c r="B1" s="153" t="s">
        <v>121</v>
      </c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ht="49.5" customHeight="1">
      <c r="A2" s="155" t="s">
        <v>73</v>
      </c>
      <c r="B2" s="156" t="s">
        <v>122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</row>
    <row r="3" ht="60.0" customHeight="1">
      <c r="A3" s="158" t="s">
        <v>123</v>
      </c>
      <c r="B3" s="159" t="s">
        <v>124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</row>
    <row r="4" ht="60.0" customHeight="1">
      <c r="A4" s="160" t="s">
        <v>75</v>
      </c>
      <c r="B4" s="161" t="s">
        <v>125</v>
      </c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</row>
    <row r="5" ht="49.5" customHeight="1">
      <c r="A5" s="155" t="s">
        <v>76</v>
      </c>
      <c r="B5" s="162" t="s">
        <v>126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</row>
    <row r="6" ht="60.0" customHeight="1">
      <c r="A6" s="160" t="s">
        <v>96</v>
      </c>
      <c r="B6" s="159" t="s">
        <v>127</v>
      </c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</row>
    <row r="7" ht="60.0" customHeight="1">
      <c r="A7" s="160" t="s">
        <v>128</v>
      </c>
      <c r="B7" s="159" t="s">
        <v>129</v>
      </c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</row>
    <row r="8" ht="60.0" customHeight="1">
      <c r="A8" s="160" t="s">
        <v>107</v>
      </c>
      <c r="B8" s="159" t="s">
        <v>130</v>
      </c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</row>
    <row r="9" ht="60.0" customHeight="1">
      <c r="A9" s="160" t="s">
        <v>110</v>
      </c>
      <c r="B9" s="159" t="s">
        <v>131</v>
      </c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</row>
    <row r="10" ht="60.0" customHeight="1">
      <c r="A10" s="160" t="s">
        <v>113</v>
      </c>
      <c r="B10" s="159" t="s">
        <v>132</v>
      </c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</row>
    <row r="11" ht="60.0" customHeight="1">
      <c r="A11" s="160" t="s">
        <v>114</v>
      </c>
      <c r="B11" s="163" t="s">
        <v>133</v>
      </c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</row>
    <row r="12" ht="49.5" customHeight="1">
      <c r="A12" s="164" t="s">
        <v>117</v>
      </c>
      <c r="B12" s="165" t="s">
        <v>134</v>
      </c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</row>
    <row r="13" ht="12.75" customHeight="1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</row>
    <row r="14" ht="12.75" customHeight="1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</row>
    <row r="15" ht="12.75" customHeight="1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</row>
    <row r="16" ht="12.75" customHeight="1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</row>
    <row r="17" ht="12.75" customHeight="1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</row>
    <row r="18" ht="12.75" customHeight="1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</row>
    <row r="19" ht="12.75" customHeight="1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</row>
    <row r="20" ht="12.75" customHeight="1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</row>
    <row r="21" ht="12.75" customHeight="1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</row>
    <row r="22" ht="12.75" customHeight="1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</row>
    <row r="23" ht="12.75" customHeight="1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</row>
    <row r="24" ht="12.75" customHeight="1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</row>
    <row r="25" ht="12.75" customHeight="1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</row>
    <row r="26" ht="12.75" customHeight="1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</row>
    <row r="27" ht="12.75" customHeight="1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</row>
    <row r="28" ht="12.75" customHeight="1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</row>
    <row r="29" ht="12.75" customHeight="1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</row>
    <row r="30" ht="12.75" customHeight="1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</row>
    <row r="31" ht="12.75" customHeight="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</row>
    <row r="32" ht="12.75" customHeight="1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</row>
    <row r="33" ht="12.75" customHeight="1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</row>
    <row r="34" ht="12.75" customHeight="1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</row>
    <row r="35" ht="12.75" customHeight="1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</row>
    <row r="36" ht="12.75" customHeight="1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</row>
    <row r="37" ht="12.75" customHeight="1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</row>
    <row r="38" ht="12.75" customHeight="1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</row>
    <row r="39" ht="12.75" customHeight="1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</row>
    <row r="40" ht="12.75" customHeight="1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</row>
    <row r="41" ht="12.75" customHeight="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</row>
    <row r="42" ht="12.75" customHeight="1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</row>
    <row r="43" ht="12.75" customHeight="1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</row>
    <row r="44" ht="12.75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</row>
    <row r="45" ht="12.75" customHeight="1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</row>
    <row r="46" ht="12.75" customHeight="1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</row>
    <row r="47" ht="12.75" customHeight="1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</row>
    <row r="48" ht="12.75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</row>
    <row r="49" ht="12.75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</row>
    <row r="50" ht="12.75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</row>
    <row r="51" ht="12.75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</row>
    <row r="52" ht="12.75" customHeight="1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</row>
    <row r="53" ht="12.75" customHeight="1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</row>
    <row r="54" ht="12.75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</row>
    <row r="55" ht="12.75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</row>
    <row r="56" ht="12.75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</row>
    <row r="57" ht="12.75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</row>
    <row r="58" ht="12.75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</row>
    <row r="59" ht="12.75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</row>
    <row r="60" ht="12.75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</row>
    <row r="61" ht="12.75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</row>
    <row r="62" ht="12.75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</row>
    <row r="63" ht="12.75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</row>
    <row r="64" ht="12.75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</row>
    <row r="65" ht="12.75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</row>
    <row r="66" ht="12.75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</row>
    <row r="67" ht="12.75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</row>
    <row r="68" ht="12.75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</row>
    <row r="69" ht="12.75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</row>
    <row r="70" ht="12.75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</row>
    <row r="71" ht="12.75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</row>
    <row r="72" ht="12.75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</row>
    <row r="73" ht="12.75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</row>
    <row r="74" ht="12.75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</row>
    <row r="75" ht="12.75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</row>
    <row r="76" ht="12.75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</row>
    <row r="77" ht="12.75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</row>
    <row r="78" ht="12.75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</row>
    <row r="79" ht="12.75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</row>
    <row r="80" ht="12.75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</row>
    <row r="81" ht="12.7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</row>
    <row r="82" ht="12.7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</row>
    <row r="83" ht="12.7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</row>
    <row r="84" ht="12.7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</row>
    <row r="85" ht="12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</row>
    <row r="86" ht="12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</row>
    <row r="87" ht="12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</row>
    <row r="88" ht="12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</row>
    <row r="89" ht="12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</row>
    <row r="90" ht="12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</row>
    <row r="91" ht="12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</row>
    <row r="92" ht="12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</row>
    <row r="93" ht="12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</row>
    <row r="94" ht="12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</row>
    <row r="95" ht="12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</row>
    <row r="96" ht="12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</row>
    <row r="97" ht="12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</row>
    <row r="98" ht="12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</row>
    <row r="99" ht="12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</row>
    <row r="100" ht="12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</row>
    <row r="101" ht="12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</row>
    <row r="102" ht="12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</row>
    <row r="103" ht="12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</row>
    <row r="104" ht="12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</row>
    <row r="105" ht="12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</row>
    <row r="106" ht="12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</row>
    <row r="107" ht="12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</row>
    <row r="108" ht="12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</row>
    <row r="109" ht="12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</row>
    <row r="110" ht="12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</row>
    <row r="111" ht="12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</row>
    <row r="112" ht="12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</row>
    <row r="113" ht="12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</row>
    <row r="114" ht="12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</row>
    <row r="115" ht="12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</row>
    <row r="116" ht="12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</row>
    <row r="117" ht="12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</row>
    <row r="118" ht="12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</row>
    <row r="119" ht="12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</row>
    <row r="120" ht="12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</row>
    <row r="121" ht="12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</row>
    <row r="122" ht="12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</row>
    <row r="123" ht="12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</row>
    <row r="124" ht="12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</row>
    <row r="125" ht="12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</row>
    <row r="126" ht="12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</row>
    <row r="127" ht="12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</row>
    <row r="128" ht="12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</row>
    <row r="129" ht="12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</row>
    <row r="130" ht="12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</row>
    <row r="131" ht="12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</row>
    <row r="132" ht="12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</row>
    <row r="133" ht="12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</row>
    <row r="134" ht="12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</row>
    <row r="135" ht="12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</row>
    <row r="136" ht="12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</row>
    <row r="137" ht="12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</row>
    <row r="138" ht="12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</row>
    <row r="139" ht="12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</row>
    <row r="140" ht="12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</row>
    <row r="141" ht="12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</row>
    <row r="142" ht="12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</row>
    <row r="143" ht="12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</row>
    <row r="144" ht="12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</row>
    <row r="145" ht="12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</row>
    <row r="146" ht="12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</row>
    <row r="147" ht="12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</row>
    <row r="148" ht="12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</row>
    <row r="149" ht="12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</row>
    <row r="150" ht="12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</row>
    <row r="151" ht="12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</row>
    <row r="152" ht="12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</row>
    <row r="153" ht="12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</row>
    <row r="154" ht="12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</row>
    <row r="155" ht="12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</row>
    <row r="156" ht="12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</row>
    <row r="157" ht="12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</row>
    <row r="158" ht="12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</row>
    <row r="159" ht="12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</row>
    <row r="160" ht="12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</row>
    <row r="161" ht="12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</row>
    <row r="162" ht="12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</row>
    <row r="163" ht="12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</row>
    <row r="164" ht="12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</row>
    <row r="165" ht="12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</row>
    <row r="166" ht="12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</row>
    <row r="167" ht="12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</row>
    <row r="168" ht="12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</row>
    <row r="169" ht="12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</row>
    <row r="170" ht="12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</row>
    <row r="171" ht="12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</row>
    <row r="172" ht="12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</row>
    <row r="173" ht="12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</row>
    <row r="174" ht="12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</row>
    <row r="175" ht="12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</row>
    <row r="176" ht="12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</row>
    <row r="177" ht="12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</row>
    <row r="178" ht="12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</row>
    <row r="179" ht="12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</row>
    <row r="180" ht="12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</row>
    <row r="181" ht="12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</row>
    <row r="182" ht="12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</row>
    <row r="183" ht="12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</row>
    <row r="184" ht="12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</row>
    <row r="185" ht="12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</row>
    <row r="186" ht="12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</row>
    <row r="187" ht="12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</row>
    <row r="188" ht="12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</row>
    <row r="189" ht="12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</row>
    <row r="190" ht="12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</row>
    <row r="191" ht="12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</row>
    <row r="192" ht="12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</row>
    <row r="193" ht="12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</row>
    <row r="194" ht="12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</row>
    <row r="195" ht="12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</row>
    <row r="196" ht="12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</row>
    <row r="197" ht="12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</row>
    <row r="198" ht="12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</row>
    <row r="199" ht="12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</row>
    <row r="200" ht="12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</row>
    <row r="201" ht="12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</row>
    <row r="202" ht="12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</row>
    <row r="203" ht="12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</row>
    <row r="204" ht="12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</row>
    <row r="205" ht="12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</row>
    <row r="206" ht="12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</row>
    <row r="207" ht="12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</row>
    <row r="208" ht="12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</row>
    <row r="209" ht="12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</row>
    <row r="210" ht="12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</row>
    <row r="211" ht="12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</row>
    <row r="212" ht="12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</row>
    <row r="213" ht="12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</row>
    <row r="214" ht="12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</row>
    <row r="215" ht="12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</row>
    <row r="216" ht="12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</row>
    <row r="217" ht="12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</row>
    <row r="218" ht="12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</row>
    <row r="219" ht="12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</row>
    <row r="220" ht="12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bottom="0.7480314960629921" footer="0.0" header="0.0" left="0.7086614173228347" right="0.7086614173228347" top="0.7480314960629921"/>
  <pageSetup fitToHeight="0" paperSize="9" orientation="landscape"/>
  <headerFooter>
    <oddHeader>&amp;C&amp;F &amp;A</oddHeader>
    <oddFooter>&amp;R&amp;D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6.71"/>
    <col customWidth="1" min="4" max="4" width="20.14"/>
  </cols>
  <sheetData>
    <row r="1">
      <c r="A1" s="166" t="s">
        <v>135</v>
      </c>
      <c r="B1" s="166" t="s">
        <v>136</v>
      </c>
      <c r="C1" s="166" t="s">
        <v>23</v>
      </c>
    </row>
    <row r="2">
      <c r="A2" s="167" t="s">
        <v>137</v>
      </c>
      <c r="B2" s="168" t="s">
        <v>67</v>
      </c>
      <c r="C2" s="168" t="s">
        <v>138</v>
      </c>
      <c r="D2" s="108" t="str">
        <f t="shared" ref="D2:D34" si="1">C2&amp;B2</f>
        <v>Mosquitos IDirector/a</v>
      </c>
    </row>
    <row r="3">
      <c r="A3" s="167" t="s">
        <v>139</v>
      </c>
      <c r="B3" s="168" t="s">
        <v>68</v>
      </c>
      <c r="C3" s="168" t="s">
        <v>138</v>
      </c>
      <c r="D3" s="108" t="str">
        <f t="shared" si="1"/>
        <v>Mosquitos IAdjunto/a</v>
      </c>
    </row>
    <row r="4">
      <c r="A4" s="167" t="s">
        <v>140</v>
      </c>
      <c r="B4" s="168" t="s">
        <v>69</v>
      </c>
      <c r="C4" s="168" t="s">
        <v>138</v>
      </c>
      <c r="D4" s="108" t="str">
        <f t="shared" si="1"/>
        <v>Mosquitos IMamã</v>
      </c>
    </row>
    <row r="5">
      <c r="A5" s="167" t="s">
        <v>141</v>
      </c>
      <c r="B5" s="168" t="s">
        <v>67</v>
      </c>
      <c r="C5" s="168" t="s">
        <v>142</v>
      </c>
      <c r="D5" s="108" t="str">
        <f t="shared" si="1"/>
        <v>Mosquitos IIDirector/a</v>
      </c>
    </row>
    <row r="6">
      <c r="A6" s="167" t="s">
        <v>143</v>
      </c>
      <c r="B6" s="168" t="s">
        <v>68</v>
      </c>
      <c r="C6" s="168" t="s">
        <v>142</v>
      </c>
      <c r="D6" s="108" t="str">
        <f t="shared" si="1"/>
        <v>Mosquitos IIAdjunto/a</v>
      </c>
    </row>
    <row r="7">
      <c r="A7" s="167" t="s">
        <v>144</v>
      </c>
      <c r="B7" s="168" t="s">
        <v>69</v>
      </c>
      <c r="C7" s="168" t="s">
        <v>142</v>
      </c>
      <c r="D7" s="108" t="str">
        <f t="shared" si="1"/>
        <v>Mosquitos IIMamã</v>
      </c>
    </row>
    <row r="8">
      <c r="A8" s="167" t="s">
        <v>145</v>
      </c>
      <c r="B8" s="168" t="s">
        <v>67</v>
      </c>
      <c r="C8" s="168" t="s">
        <v>146</v>
      </c>
      <c r="D8" s="108" t="str">
        <f t="shared" si="1"/>
        <v>Aranhiços IDirector/a</v>
      </c>
    </row>
    <row r="9">
      <c r="A9" s="167" t="s">
        <v>147</v>
      </c>
      <c r="B9" s="168" t="s">
        <v>68</v>
      </c>
      <c r="C9" s="168" t="s">
        <v>146</v>
      </c>
      <c r="D9" s="108" t="str">
        <f t="shared" si="1"/>
        <v>Aranhiços IAdjunto/a</v>
      </c>
    </row>
    <row r="10">
      <c r="A10" s="167" t="s">
        <v>148</v>
      </c>
      <c r="B10" s="168" t="s">
        <v>69</v>
      </c>
      <c r="C10" s="168" t="s">
        <v>146</v>
      </c>
      <c r="D10" s="108" t="str">
        <f t="shared" si="1"/>
        <v>Aranhiços IMamã</v>
      </c>
    </row>
    <row r="11">
      <c r="A11" s="167" t="s">
        <v>149</v>
      </c>
      <c r="B11" s="168" t="s">
        <v>67</v>
      </c>
      <c r="C11" s="168" t="s">
        <v>150</v>
      </c>
      <c r="D11" s="108" t="str">
        <f t="shared" si="1"/>
        <v>Aranhiços IIDirector/a</v>
      </c>
    </row>
    <row r="12">
      <c r="A12" s="167" t="s">
        <v>151</v>
      </c>
      <c r="B12" s="168" t="s">
        <v>68</v>
      </c>
      <c r="C12" s="168" t="s">
        <v>150</v>
      </c>
      <c r="D12" s="108" t="str">
        <f t="shared" si="1"/>
        <v>Aranhiços IIAdjunto/a</v>
      </c>
    </row>
    <row r="13">
      <c r="A13" s="167" t="s">
        <v>152</v>
      </c>
      <c r="B13" s="168" t="s">
        <v>69</v>
      </c>
      <c r="C13" s="168" t="s">
        <v>150</v>
      </c>
      <c r="D13" s="108" t="str">
        <f t="shared" si="1"/>
        <v>Aranhiços IIMamã</v>
      </c>
    </row>
    <row r="14">
      <c r="A14" s="167" t="s">
        <v>153</v>
      </c>
      <c r="B14" s="168" t="s">
        <v>67</v>
      </c>
      <c r="C14" s="168" t="s">
        <v>154</v>
      </c>
      <c r="D14" s="108" t="str">
        <f t="shared" si="1"/>
        <v>Aranhiços IIIDirector/a</v>
      </c>
    </row>
    <row r="15">
      <c r="A15" s="167" t="s">
        <v>155</v>
      </c>
      <c r="B15" s="168" t="s">
        <v>68</v>
      </c>
      <c r="C15" s="168" t="s">
        <v>154</v>
      </c>
      <c r="D15" s="108" t="str">
        <f t="shared" si="1"/>
        <v>Aranhiços IIIAdjunto/a</v>
      </c>
    </row>
    <row r="16">
      <c r="A16" s="167" t="s">
        <v>156</v>
      </c>
      <c r="B16" s="168" t="s">
        <v>69</v>
      </c>
      <c r="C16" s="168" t="s">
        <v>154</v>
      </c>
      <c r="D16" s="108" t="str">
        <f t="shared" si="1"/>
        <v>Aranhiços IIIMamã</v>
      </c>
    </row>
    <row r="17">
      <c r="A17" s="167" t="s">
        <v>157</v>
      </c>
      <c r="B17" s="168" t="s">
        <v>67</v>
      </c>
      <c r="C17" s="168" t="s">
        <v>158</v>
      </c>
      <c r="D17" s="108" t="str">
        <f t="shared" si="1"/>
        <v>Melgas IDirector/a</v>
      </c>
    </row>
    <row r="18">
      <c r="A18" s="167" t="s">
        <v>159</v>
      </c>
      <c r="B18" s="168" t="s">
        <v>68</v>
      </c>
      <c r="C18" s="168" t="s">
        <v>158</v>
      </c>
      <c r="D18" s="108" t="str">
        <f t="shared" si="1"/>
        <v>Melgas IAdjunto/a</v>
      </c>
    </row>
    <row r="19">
      <c r="A19" s="167" t="s">
        <v>160</v>
      </c>
      <c r="B19" s="168" t="s">
        <v>69</v>
      </c>
      <c r="C19" s="168" t="s">
        <v>158</v>
      </c>
      <c r="D19" s="108" t="str">
        <f t="shared" si="1"/>
        <v>Melgas IMamã</v>
      </c>
    </row>
    <row r="20">
      <c r="A20" s="167" t="s">
        <v>161</v>
      </c>
      <c r="B20" s="168" t="s">
        <v>67</v>
      </c>
      <c r="C20" s="168" t="s">
        <v>162</v>
      </c>
      <c r="D20" s="108" t="str">
        <f t="shared" si="1"/>
        <v>Melgas IIDirector/a</v>
      </c>
    </row>
    <row r="21">
      <c r="A21" s="167" t="s">
        <v>163</v>
      </c>
      <c r="B21" s="168" t="s">
        <v>68</v>
      </c>
      <c r="C21" s="168" t="s">
        <v>162</v>
      </c>
      <c r="D21" s="108" t="str">
        <f t="shared" si="1"/>
        <v>Melgas IIAdjunto/a</v>
      </c>
    </row>
    <row r="22">
      <c r="A22" s="167" t="s">
        <v>164</v>
      </c>
      <c r="B22" s="168" t="s">
        <v>69</v>
      </c>
      <c r="C22" s="168" t="s">
        <v>162</v>
      </c>
      <c r="D22" s="108" t="str">
        <f t="shared" si="1"/>
        <v>Melgas IIMamã</v>
      </c>
    </row>
    <row r="23">
      <c r="A23" s="167" t="s">
        <v>165</v>
      </c>
      <c r="B23" s="168" t="s">
        <v>67</v>
      </c>
      <c r="C23" s="167" t="s">
        <v>166</v>
      </c>
      <c r="D23" s="108" t="str">
        <f t="shared" si="1"/>
        <v>Melgas IIIDirector/a</v>
      </c>
    </row>
    <row r="24" ht="15.75" customHeight="1">
      <c r="A24" s="167" t="s">
        <v>167</v>
      </c>
      <c r="B24" s="168" t="s">
        <v>68</v>
      </c>
      <c r="C24" s="167" t="s">
        <v>166</v>
      </c>
      <c r="D24" s="108" t="str">
        <f t="shared" si="1"/>
        <v>Melgas IIIAdjunto/a</v>
      </c>
    </row>
    <row r="25" ht="15.75" customHeight="1">
      <c r="A25" s="167" t="s">
        <v>168</v>
      </c>
      <c r="B25" s="168" t="s">
        <v>69</v>
      </c>
      <c r="C25" s="167" t="s">
        <v>166</v>
      </c>
      <c r="D25" s="108" t="str">
        <f t="shared" si="1"/>
        <v>Melgas IIIMamã</v>
      </c>
    </row>
    <row r="26" ht="15.75" customHeight="1">
      <c r="A26" s="167" t="s">
        <v>169</v>
      </c>
      <c r="B26" s="168" t="s">
        <v>67</v>
      </c>
      <c r="C26" s="167" t="s">
        <v>170</v>
      </c>
      <c r="D26" s="108" t="str">
        <f t="shared" si="1"/>
        <v>Tremelgas IDirector/a</v>
      </c>
    </row>
    <row r="27" ht="15.75" customHeight="1">
      <c r="A27" s="167" t="s">
        <v>171</v>
      </c>
      <c r="B27" s="168" t="s">
        <v>68</v>
      </c>
      <c r="C27" s="167" t="s">
        <v>170</v>
      </c>
      <c r="D27" s="108" t="str">
        <f t="shared" si="1"/>
        <v>Tremelgas IAdjunto/a</v>
      </c>
    </row>
    <row r="28" ht="15.75" customHeight="1">
      <c r="A28" s="167" t="s">
        <v>172</v>
      </c>
      <c r="B28" s="168" t="s">
        <v>69</v>
      </c>
      <c r="C28" s="167" t="s">
        <v>170</v>
      </c>
      <c r="D28" s="108" t="str">
        <f t="shared" si="1"/>
        <v>Tremelgas IMamã</v>
      </c>
    </row>
    <row r="29" ht="15.75" customHeight="1">
      <c r="A29" s="168" t="s">
        <v>173</v>
      </c>
      <c r="B29" s="168" t="s">
        <v>67</v>
      </c>
      <c r="C29" s="167" t="s">
        <v>174</v>
      </c>
      <c r="D29" s="108" t="str">
        <f t="shared" si="1"/>
        <v>Tremelgas IIDirector/a</v>
      </c>
    </row>
    <row r="30" ht="15.75" customHeight="1">
      <c r="A30" s="167" t="s">
        <v>175</v>
      </c>
      <c r="B30" s="168" t="s">
        <v>68</v>
      </c>
      <c r="C30" s="167" t="s">
        <v>174</v>
      </c>
      <c r="D30" s="108" t="str">
        <f t="shared" si="1"/>
        <v>Tremelgas IIAdjunto/a</v>
      </c>
    </row>
    <row r="31" ht="15.75" customHeight="1">
      <c r="A31" s="167" t="s">
        <v>176</v>
      </c>
      <c r="B31" s="168" t="s">
        <v>69</v>
      </c>
      <c r="C31" s="167" t="s">
        <v>174</v>
      </c>
      <c r="D31" s="108" t="str">
        <f t="shared" si="1"/>
        <v>Tremelgas IIMamã</v>
      </c>
    </row>
    <row r="32" ht="15.75" customHeight="1">
      <c r="A32" s="167" t="s">
        <v>177</v>
      </c>
      <c r="B32" s="168" t="s">
        <v>67</v>
      </c>
      <c r="C32" s="168" t="s">
        <v>178</v>
      </c>
      <c r="D32" s="108" t="str">
        <f t="shared" si="1"/>
        <v>Camaleões IDirector/a</v>
      </c>
    </row>
    <row r="33" ht="15.75" customHeight="1">
      <c r="A33" s="167" t="s">
        <v>179</v>
      </c>
      <c r="B33" s="168" t="s">
        <v>68</v>
      </c>
      <c r="C33" s="168" t="s">
        <v>178</v>
      </c>
      <c r="D33" s="108" t="str">
        <f t="shared" si="1"/>
        <v>Camaleões IAdjunto/a</v>
      </c>
    </row>
    <row r="34" ht="15.75" customHeight="1">
      <c r="A34" s="167" t="s">
        <v>180</v>
      </c>
      <c r="B34" s="168" t="s">
        <v>69</v>
      </c>
      <c r="C34" s="168" t="s">
        <v>178</v>
      </c>
      <c r="D34" s="108" t="str">
        <f t="shared" si="1"/>
        <v>Camaleões IMamã</v>
      </c>
    </row>
    <row r="35" ht="15.75" customHeight="1">
      <c r="A35" s="168"/>
      <c r="B35" s="168"/>
      <c r="C35" s="168"/>
    </row>
    <row r="36" ht="15.75" customHeight="1">
      <c r="A36" s="168"/>
      <c r="B36" s="168"/>
      <c r="C36" s="168"/>
    </row>
    <row r="37" ht="15.75" customHeight="1">
      <c r="A37" s="168"/>
      <c r="B37" s="168"/>
      <c r="C37" s="168"/>
    </row>
    <row r="38" ht="15.75" customHeight="1">
      <c r="A38" s="168"/>
      <c r="B38" s="168"/>
      <c r="C38" s="168"/>
    </row>
    <row r="39" ht="15.75" customHeight="1">
      <c r="A39" s="168"/>
      <c r="B39" s="168"/>
      <c r="C39" s="168"/>
    </row>
    <row r="40" ht="15.75" customHeight="1">
      <c r="A40" s="168"/>
      <c r="B40" s="168"/>
      <c r="C40" s="168"/>
    </row>
    <row r="41" ht="15.75" customHeight="1">
      <c r="A41" s="168"/>
      <c r="B41" s="168"/>
      <c r="C41" s="168"/>
    </row>
    <row r="42" ht="15.75" customHeight="1">
      <c r="A42" s="168"/>
      <c r="B42" s="168"/>
      <c r="C42" s="168"/>
    </row>
    <row r="43" ht="15.75" customHeight="1">
      <c r="A43" s="168"/>
      <c r="B43" s="168"/>
      <c r="C43" s="168"/>
    </row>
    <row r="44" ht="15.75" customHeight="1">
      <c r="A44" s="168"/>
      <c r="B44" s="168"/>
      <c r="C44" s="168"/>
    </row>
    <row r="45" ht="15.75" customHeight="1">
      <c r="A45" s="168"/>
      <c r="B45" s="168"/>
      <c r="C45" s="168"/>
    </row>
    <row r="46" ht="15.75" customHeight="1">
      <c r="A46" s="168"/>
      <c r="B46" s="168"/>
      <c r="C46" s="168"/>
    </row>
    <row r="47" ht="15.75" customHeight="1">
      <c r="A47" s="168"/>
      <c r="B47" s="168"/>
      <c r="C47" s="168"/>
    </row>
    <row r="48" ht="15.75" customHeight="1">
      <c r="A48" s="168"/>
      <c r="B48" s="168"/>
      <c r="C48" s="168"/>
    </row>
    <row r="49" ht="15.75" customHeight="1">
      <c r="A49" s="168"/>
      <c r="B49" s="168"/>
      <c r="C49" s="168"/>
    </row>
    <row r="50" ht="15.75" customHeight="1">
      <c r="A50" s="168"/>
      <c r="B50" s="168"/>
      <c r="C50" s="168"/>
    </row>
    <row r="51" ht="15.75" customHeight="1">
      <c r="A51" s="168"/>
      <c r="B51" s="168"/>
      <c r="C51" s="168"/>
    </row>
    <row r="52" ht="15.75" customHeight="1">
      <c r="A52" s="168"/>
      <c r="B52" s="168"/>
      <c r="C52" s="168"/>
    </row>
    <row r="53" ht="15.75" customHeight="1">
      <c r="A53" s="168"/>
      <c r="B53" s="168"/>
      <c r="C53" s="168"/>
    </row>
    <row r="54" ht="15.75" customHeight="1">
      <c r="A54" s="168"/>
      <c r="B54" s="168"/>
      <c r="C54" s="168"/>
    </row>
    <row r="55" ht="15.75" customHeight="1">
      <c r="A55" s="168"/>
      <c r="B55" s="168"/>
      <c r="C55" s="168"/>
    </row>
    <row r="56" ht="15.75" customHeight="1">
      <c r="A56" s="168"/>
      <c r="B56" s="168"/>
      <c r="C56" s="168"/>
    </row>
    <row r="57" ht="15.75" customHeight="1">
      <c r="A57" s="168"/>
      <c r="B57" s="168"/>
      <c r="C57" s="168"/>
    </row>
    <row r="58" ht="15.75" customHeight="1">
      <c r="A58" s="168"/>
      <c r="B58" s="168"/>
      <c r="C58" s="168"/>
    </row>
    <row r="59" ht="15.75" customHeight="1">
      <c r="A59" s="168"/>
      <c r="B59" s="168"/>
      <c r="C59" s="168"/>
    </row>
    <row r="60" ht="15.75" customHeight="1">
      <c r="A60" s="168"/>
      <c r="B60" s="168"/>
      <c r="C60" s="168"/>
    </row>
    <row r="61" ht="15.75" customHeight="1">
      <c r="A61" s="168"/>
      <c r="B61" s="168"/>
      <c r="C61" s="168"/>
    </row>
    <row r="62" ht="15.75" customHeight="1">
      <c r="A62" s="168"/>
      <c r="B62" s="168"/>
      <c r="C62" s="168"/>
    </row>
    <row r="63" ht="15.75" customHeight="1">
      <c r="A63" s="168"/>
      <c r="B63" s="168"/>
      <c r="C63" s="168"/>
    </row>
    <row r="64" ht="15.75" customHeight="1">
      <c r="A64" s="168"/>
      <c r="B64" s="168"/>
      <c r="C64" s="168"/>
    </row>
    <row r="65" ht="15.75" customHeight="1">
      <c r="A65" s="168"/>
      <c r="B65" s="168"/>
      <c r="C65" s="168"/>
    </row>
    <row r="66" ht="15.75" customHeight="1">
      <c r="A66" s="168"/>
      <c r="B66" s="168"/>
      <c r="C66" s="168"/>
    </row>
    <row r="67" ht="15.75" customHeight="1">
      <c r="A67" s="168"/>
      <c r="B67" s="168"/>
      <c r="C67" s="168"/>
    </row>
    <row r="68" ht="15.75" customHeight="1">
      <c r="A68" s="168"/>
      <c r="B68" s="168"/>
      <c r="C68" s="168"/>
    </row>
    <row r="69" ht="15.75" customHeight="1">
      <c r="A69" s="168"/>
      <c r="B69" s="168"/>
      <c r="C69" s="168"/>
    </row>
    <row r="70" ht="15.75" customHeight="1">
      <c r="A70" s="168"/>
      <c r="B70" s="168"/>
      <c r="C70" s="168"/>
    </row>
    <row r="71" ht="15.75" customHeight="1">
      <c r="A71" s="168"/>
      <c r="B71" s="168"/>
      <c r="C71" s="168"/>
    </row>
    <row r="72" ht="15.75" customHeight="1">
      <c r="A72" s="168"/>
      <c r="B72" s="168"/>
      <c r="C72" s="168"/>
    </row>
    <row r="73" ht="15.75" customHeight="1">
      <c r="A73" s="168"/>
      <c r="B73" s="168"/>
      <c r="C73" s="168"/>
    </row>
    <row r="74" ht="15.75" customHeight="1">
      <c r="A74" s="168"/>
      <c r="B74" s="168"/>
      <c r="C74" s="168"/>
    </row>
    <row r="75" ht="15.75" customHeight="1">
      <c r="A75" s="168"/>
      <c r="B75" s="168"/>
      <c r="C75" s="168"/>
    </row>
    <row r="76" ht="15.75" customHeight="1">
      <c r="A76" s="168"/>
      <c r="B76" s="168"/>
      <c r="C76" s="168"/>
    </row>
    <row r="77" ht="15.75" customHeight="1">
      <c r="A77" s="168"/>
      <c r="B77" s="168"/>
      <c r="C77" s="168"/>
    </row>
    <row r="78" ht="15.75" customHeight="1">
      <c r="A78" s="168"/>
      <c r="B78" s="168"/>
      <c r="C78" s="168"/>
    </row>
    <row r="79" ht="15.75" customHeight="1">
      <c r="A79" s="168"/>
      <c r="B79" s="168"/>
      <c r="C79" s="168"/>
    </row>
    <row r="80" ht="15.75" customHeight="1">
      <c r="A80" s="168"/>
      <c r="B80" s="168"/>
      <c r="C80" s="168"/>
    </row>
    <row r="81" ht="15.75" customHeight="1">
      <c r="A81" s="168"/>
      <c r="B81" s="168"/>
      <c r="C81" s="168"/>
    </row>
    <row r="82" ht="15.75" customHeight="1">
      <c r="A82" s="168"/>
      <c r="B82" s="168"/>
      <c r="C82" s="168"/>
    </row>
    <row r="83" ht="15.75" customHeight="1">
      <c r="A83" s="168"/>
      <c r="B83" s="168"/>
      <c r="C83" s="168"/>
    </row>
    <row r="84" ht="15.75" customHeight="1">
      <c r="A84" s="168"/>
      <c r="B84" s="168"/>
      <c r="C84" s="168"/>
    </row>
    <row r="85" ht="15.75" customHeight="1">
      <c r="A85" s="168"/>
      <c r="B85" s="168"/>
      <c r="C85" s="168"/>
    </row>
    <row r="86" ht="15.75" customHeight="1">
      <c r="A86" s="168"/>
      <c r="B86" s="168"/>
      <c r="C86" s="168"/>
    </row>
    <row r="87" ht="15.75" customHeight="1">
      <c r="A87" s="168"/>
      <c r="B87" s="168"/>
      <c r="C87" s="168"/>
    </row>
    <row r="88" ht="15.75" customHeight="1">
      <c r="A88" s="168"/>
      <c r="B88" s="168"/>
      <c r="C88" s="168"/>
    </row>
    <row r="89" ht="15.75" customHeight="1">
      <c r="A89" s="168"/>
      <c r="B89" s="168"/>
      <c r="C89" s="168"/>
    </row>
    <row r="90" ht="15.75" customHeight="1">
      <c r="A90" s="168"/>
      <c r="B90" s="168"/>
      <c r="C90" s="168"/>
    </row>
    <row r="91" ht="15.75" customHeight="1">
      <c r="A91" s="168"/>
      <c r="B91" s="168"/>
      <c r="C91" s="168"/>
    </row>
    <row r="92" ht="15.75" customHeight="1">
      <c r="A92" s="168"/>
      <c r="B92" s="168"/>
      <c r="C92" s="168"/>
    </row>
    <row r="93" ht="15.75" customHeight="1">
      <c r="A93" s="168"/>
      <c r="B93" s="168"/>
      <c r="C93" s="168"/>
    </row>
    <row r="94" ht="15.75" customHeight="1">
      <c r="A94" s="168"/>
      <c r="B94" s="168"/>
      <c r="C94" s="168"/>
    </row>
    <row r="95" ht="15.75" customHeight="1">
      <c r="A95" s="168"/>
      <c r="B95" s="168"/>
      <c r="C95" s="168"/>
    </row>
    <row r="96" ht="15.75" customHeight="1">
      <c r="A96" s="168"/>
      <c r="B96" s="168"/>
      <c r="C96" s="168"/>
    </row>
    <row r="97" ht="15.75" customHeight="1">
      <c r="A97" s="168"/>
      <c r="B97" s="168"/>
      <c r="C97" s="168"/>
    </row>
    <row r="98" ht="15.75" customHeight="1">
      <c r="A98" s="168"/>
      <c r="B98" s="168"/>
      <c r="C98" s="168"/>
    </row>
    <row r="99" ht="15.75" customHeight="1">
      <c r="A99" s="168"/>
      <c r="B99" s="168"/>
      <c r="C99" s="168"/>
    </row>
    <row r="100" ht="15.75" customHeight="1">
      <c r="A100" s="168"/>
      <c r="B100" s="168"/>
      <c r="C100" s="168"/>
    </row>
    <row r="101" ht="15.75" customHeight="1">
      <c r="A101" s="168"/>
      <c r="B101" s="168"/>
      <c r="C101" s="168"/>
    </row>
    <row r="102" ht="15.75" customHeight="1">
      <c r="A102" s="168"/>
      <c r="B102" s="168"/>
      <c r="C102" s="168"/>
    </row>
    <row r="103" ht="15.75" customHeight="1">
      <c r="A103" s="168"/>
      <c r="B103" s="168"/>
      <c r="C103" s="168"/>
    </row>
    <row r="104" ht="15.75" customHeight="1">
      <c r="A104" s="168"/>
      <c r="B104" s="168"/>
      <c r="C104" s="168"/>
    </row>
    <row r="105" ht="15.75" customHeight="1">
      <c r="A105" s="168"/>
      <c r="B105" s="168"/>
      <c r="C105" s="168"/>
    </row>
    <row r="106" ht="15.75" customHeight="1">
      <c r="A106" s="168"/>
      <c r="B106" s="168"/>
      <c r="C106" s="168"/>
    </row>
    <row r="107" ht="15.75" customHeight="1">
      <c r="A107" s="168"/>
      <c r="B107" s="168"/>
      <c r="C107" s="168"/>
    </row>
    <row r="108" ht="15.75" customHeight="1">
      <c r="A108" s="168"/>
      <c r="B108" s="168"/>
      <c r="C108" s="168"/>
    </row>
    <row r="109" ht="15.75" customHeight="1">
      <c r="A109" s="168"/>
      <c r="B109" s="168"/>
      <c r="C109" s="168"/>
    </row>
    <row r="110" ht="15.75" customHeight="1">
      <c r="A110" s="168"/>
      <c r="B110" s="168"/>
      <c r="C110" s="168"/>
    </row>
    <row r="111" ht="15.75" customHeight="1">
      <c r="A111" s="168"/>
      <c r="B111" s="168"/>
      <c r="C111" s="168"/>
    </row>
    <row r="112" ht="15.75" customHeight="1">
      <c r="A112" s="168"/>
      <c r="B112" s="168"/>
      <c r="C112" s="168"/>
    </row>
    <row r="113" ht="15.75" customHeight="1">
      <c r="A113" s="168"/>
      <c r="B113" s="168"/>
      <c r="C113" s="168"/>
    </row>
    <row r="114" ht="15.75" customHeight="1">
      <c r="A114" s="168"/>
      <c r="B114" s="168"/>
      <c r="C114" s="168"/>
    </row>
    <row r="115" ht="15.75" customHeight="1">
      <c r="A115" s="168"/>
      <c r="B115" s="168"/>
      <c r="C115" s="168"/>
    </row>
    <row r="116" ht="15.75" customHeight="1">
      <c r="A116" s="168"/>
      <c r="B116" s="168"/>
      <c r="C116" s="168"/>
    </row>
    <row r="117" ht="15.75" customHeight="1">
      <c r="A117" s="168"/>
      <c r="B117" s="168"/>
      <c r="C117" s="168"/>
    </row>
    <row r="118" ht="15.75" customHeight="1">
      <c r="A118" s="168"/>
      <c r="B118" s="168"/>
      <c r="C118" s="168"/>
    </row>
    <row r="119" ht="15.75" customHeight="1">
      <c r="A119" s="168"/>
      <c r="B119" s="168"/>
      <c r="C119" s="168"/>
    </row>
    <row r="120" ht="15.75" customHeight="1">
      <c r="A120" s="168"/>
      <c r="B120" s="168"/>
      <c r="C120" s="168"/>
    </row>
    <row r="121" ht="15.75" customHeight="1">
      <c r="A121" s="168"/>
      <c r="B121" s="168"/>
      <c r="C121" s="168"/>
    </row>
    <row r="122" ht="15.75" customHeight="1">
      <c r="A122" s="168"/>
      <c r="B122" s="168"/>
      <c r="C122" s="168"/>
    </row>
    <row r="123" ht="15.75" customHeight="1">
      <c r="A123" s="168"/>
      <c r="B123" s="168"/>
      <c r="C123" s="168"/>
    </row>
    <row r="124" ht="15.75" customHeight="1">
      <c r="A124" s="168"/>
      <c r="B124" s="168"/>
      <c r="C124" s="168"/>
    </row>
    <row r="125" ht="15.75" customHeight="1">
      <c r="A125" s="168"/>
      <c r="B125" s="168"/>
      <c r="C125" s="168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autoFilter ref="$A$1:$C$34">
    <sortState ref="A1:C34">
      <sortCondition ref="C1:C34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 outlineLevelCol="1" outlineLevelRow="1"/>
  <cols>
    <col customWidth="1" hidden="1" min="1" max="1" width="6.43" outlineLevel="1"/>
    <col collapsed="1" customWidth="1" min="2" max="2" width="52.0"/>
    <col customWidth="1" min="3" max="5" width="15.71"/>
    <col customWidth="1" min="6" max="6" width="2.14"/>
    <col customWidth="1" min="7" max="7" width="32.57"/>
    <col customWidth="1" min="8" max="8" width="3.86"/>
    <col customWidth="1" min="9" max="9" width="12.86"/>
    <col customWidth="1" hidden="1" min="10" max="10" width="11.43" outlineLevel="1"/>
    <col customWidth="1" min="11" max="14" width="9.14"/>
    <col customWidth="1" min="15" max="26" width="17.29"/>
  </cols>
  <sheetData>
    <row r="1" ht="15.75" customHeight="1">
      <c r="A1" s="83"/>
      <c r="B1" s="169" t="s">
        <v>181</v>
      </c>
      <c r="C1" s="83">
        <v>60.0</v>
      </c>
      <c r="D1" s="83">
        <v>35.0</v>
      </c>
      <c r="E1" s="83">
        <v>60.0</v>
      </c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5.75" customHeight="1">
      <c r="A2" s="83"/>
      <c r="B2" s="169" t="s">
        <v>182</v>
      </c>
      <c r="C2" s="83">
        <v>69.0</v>
      </c>
      <c r="D2" s="83">
        <v>35.0</v>
      </c>
      <c r="E2" s="83">
        <v>23.0</v>
      </c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29.25" customHeight="1">
      <c r="A3" s="83"/>
      <c r="B3" s="105" t="s">
        <v>70</v>
      </c>
      <c r="C3" s="105" t="s">
        <v>183</v>
      </c>
      <c r="D3" s="105" t="s">
        <v>184</v>
      </c>
      <c r="E3" s="106" t="s">
        <v>185</v>
      </c>
      <c r="F3" s="107"/>
      <c r="G3" s="106" t="s">
        <v>90</v>
      </c>
      <c r="H3" s="83"/>
      <c r="I3" s="83"/>
      <c r="J3" s="106" t="s">
        <v>186</v>
      </c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9.5" customHeight="1">
      <c r="A4" s="83" t="s">
        <v>91</v>
      </c>
      <c r="B4" s="109" t="s">
        <v>72</v>
      </c>
      <c r="C4" s="110">
        <f t="shared" ref="C4:D4" si="1">+C2*C1</f>
        <v>4140</v>
      </c>
      <c r="D4" s="110">
        <f t="shared" si="1"/>
        <v>1225</v>
      </c>
      <c r="E4" s="110">
        <f>+E2*E1+5</f>
        <v>1385</v>
      </c>
      <c r="F4" s="107"/>
      <c r="G4" s="112" t="str">
        <f>+'Dados Iniciais Preencher'!C22</f>
        <v>--//--//--</v>
      </c>
      <c r="H4" s="83"/>
      <c r="I4" s="83"/>
      <c r="J4" s="170" t="str">
        <f>+G4</f>
        <v>--//--//--</v>
      </c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12.75" customHeight="1">
      <c r="A5" s="83"/>
      <c r="B5" s="114" t="s">
        <v>73</v>
      </c>
      <c r="C5" s="115">
        <f t="shared" ref="C5:E5" si="2">C6+C9</f>
        <v>0</v>
      </c>
      <c r="D5" s="115">
        <f t="shared" si="2"/>
        <v>0</v>
      </c>
      <c r="E5" s="115">
        <f t="shared" si="2"/>
        <v>100</v>
      </c>
      <c r="F5" s="107"/>
      <c r="G5" s="116">
        <f>G6+G9</f>
        <v>10</v>
      </c>
      <c r="H5" s="83"/>
      <c r="I5" s="83"/>
      <c r="J5" s="171">
        <f t="shared" ref="J5:J11" si="3">+$E5-G5</f>
        <v>90</v>
      </c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12.75" customHeight="1">
      <c r="A6" s="83"/>
      <c r="B6" s="117" t="s">
        <v>74</v>
      </c>
      <c r="C6" s="118">
        <f>+C7+C8</f>
        <v>0</v>
      </c>
      <c r="D6" s="118">
        <v>0.0</v>
      </c>
      <c r="E6" s="118">
        <f>+E7+E8</f>
        <v>100</v>
      </c>
      <c r="F6" s="107"/>
      <c r="G6" s="119">
        <f>+G7+G8</f>
        <v>10</v>
      </c>
      <c r="H6" s="83"/>
      <c r="I6" s="83"/>
      <c r="J6" s="171">
        <f t="shared" si="3"/>
        <v>90</v>
      </c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12.75" hidden="1" customHeight="1" outlineLevel="1">
      <c r="A7" s="83" t="s">
        <v>21</v>
      </c>
      <c r="B7" s="121" t="s">
        <v>92</v>
      </c>
      <c r="C7" s="122">
        <v>0.0</v>
      </c>
      <c r="D7" s="122">
        <v>180.0</v>
      </c>
      <c r="E7" s="122">
        <v>100.0</v>
      </c>
      <c r="F7" s="107"/>
      <c r="G7" s="123">
        <f>+SUMIF('Relatório &amp; Contas Preencher'!F:F,'Valores Ref. Inverno'!$A7,'Relatório &amp; Contas Preencher'!D:D)</f>
        <v>10</v>
      </c>
      <c r="H7" s="83"/>
      <c r="I7" s="83"/>
      <c r="J7" s="171">
        <f t="shared" si="3"/>
        <v>90</v>
      </c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12.75" hidden="1" customHeight="1" outlineLevel="1">
      <c r="A8" s="83" t="s">
        <v>26</v>
      </c>
      <c r="B8" s="121" t="s">
        <v>93</v>
      </c>
      <c r="C8" s="122">
        <v>0.0</v>
      </c>
      <c r="D8" s="122">
        <v>120.0</v>
      </c>
      <c r="E8" s="122">
        <v>0.0</v>
      </c>
      <c r="F8" s="107"/>
      <c r="G8" s="123">
        <f>+SUMIF('Relatório &amp; Contas Preencher'!F:F,'Valores Ref. Inverno'!$A8,'Relatório &amp; Contas Preencher'!D:D)</f>
        <v>0</v>
      </c>
      <c r="H8" s="83"/>
      <c r="I8" s="83"/>
      <c r="J8" s="171">
        <f t="shared" si="3"/>
        <v>0</v>
      </c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12.75" customHeight="1" collapsed="1">
      <c r="A9" s="83"/>
      <c r="B9" s="117" t="s">
        <v>75</v>
      </c>
      <c r="C9" s="118">
        <f>+C10+C11</f>
        <v>0</v>
      </c>
      <c r="D9" s="118">
        <v>0.0</v>
      </c>
      <c r="E9" s="118">
        <f>+E10+E11</f>
        <v>0</v>
      </c>
      <c r="F9" s="107"/>
      <c r="G9" s="119">
        <f>+G10+G11</f>
        <v>0</v>
      </c>
      <c r="H9" s="83"/>
      <c r="I9" s="83"/>
      <c r="J9" s="171">
        <f t="shared" si="3"/>
        <v>0</v>
      </c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2.75" hidden="1" customHeight="1" outlineLevel="1">
      <c r="A10" s="83" t="s">
        <v>28</v>
      </c>
      <c r="B10" s="127" t="s">
        <v>94</v>
      </c>
      <c r="C10" s="122">
        <v>0.0</v>
      </c>
      <c r="D10" s="122">
        <v>30.0</v>
      </c>
      <c r="E10" s="122">
        <v>0.0</v>
      </c>
      <c r="F10" s="107"/>
      <c r="G10" s="123">
        <f>+SUMIF('Relatório &amp; Contas Preencher'!F:F,'Valores Ref. Inverno'!$A10,'Relatório &amp; Contas Preencher'!D:D)</f>
        <v>0</v>
      </c>
      <c r="H10" s="83"/>
      <c r="I10" s="83"/>
      <c r="J10" s="171">
        <f t="shared" si="3"/>
        <v>0</v>
      </c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12.75" hidden="1" customHeight="1" outlineLevel="1">
      <c r="A11" s="83" t="s">
        <v>30</v>
      </c>
      <c r="B11" s="127" t="s">
        <v>95</v>
      </c>
      <c r="C11" s="122">
        <v>0.0</v>
      </c>
      <c r="D11" s="122">
        <v>0.0</v>
      </c>
      <c r="E11" s="122">
        <v>0.0</v>
      </c>
      <c r="F11" s="107"/>
      <c r="G11" s="123">
        <f>+SUMIF('Relatório &amp; Contas Preencher'!F:F,'Valores Ref. Inverno'!$A11,'Relatório &amp; Contas Preencher'!D:D)</f>
        <v>0</v>
      </c>
      <c r="H11" s="83"/>
      <c r="I11" s="83"/>
      <c r="J11" s="171">
        <f t="shared" si="3"/>
        <v>0</v>
      </c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12.75" customHeight="1" collapsed="1">
      <c r="A12" s="83"/>
      <c r="B12" s="128" t="s">
        <v>76</v>
      </c>
      <c r="C12" s="129">
        <f t="shared" ref="C12:E12" si="4">C4-C5</f>
        <v>4140</v>
      </c>
      <c r="D12" s="129">
        <f t="shared" si="4"/>
        <v>1225</v>
      </c>
      <c r="E12" s="129">
        <f t="shared" si="4"/>
        <v>1285</v>
      </c>
      <c r="F12" s="107"/>
      <c r="G12" s="172">
        <f>+G13+G19+G23+G26+G29+G30</f>
        <v>0</v>
      </c>
      <c r="H12" s="83"/>
      <c r="I12" s="83"/>
      <c r="J12" s="171">
        <f>$E12-G12</f>
        <v>1285</v>
      </c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12.75" customHeight="1">
      <c r="A13" s="83"/>
      <c r="B13" s="130" t="s">
        <v>77</v>
      </c>
      <c r="C13" s="118">
        <f t="shared" ref="C13:E13" si="5">+C14+C15+C16+C17+C18</f>
        <v>1000</v>
      </c>
      <c r="D13" s="118">
        <f t="shared" si="5"/>
        <v>1000</v>
      </c>
      <c r="E13" s="118">
        <f t="shared" si="5"/>
        <v>660</v>
      </c>
      <c r="F13" s="107"/>
      <c r="G13" s="119">
        <f>+G14+G15+G16+G17+G18</f>
        <v>0</v>
      </c>
      <c r="H13" s="83"/>
      <c r="I13" s="83"/>
      <c r="J13" s="171">
        <f t="shared" ref="J13:J30" si="6">+$E13-G13</f>
        <v>660</v>
      </c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12.75" customHeight="1" outlineLevel="1">
      <c r="A14" s="83" t="s">
        <v>32</v>
      </c>
      <c r="B14" s="121" t="s">
        <v>97</v>
      </c>
      <c r="C14" s="122">
        <v>600.0</v>
      </c>
      <c r="D14" s="122">
        <v>600.0</v>
      </c>
      <c r="E14" s="122">
        <v>600.0</v>
      </c>
      <c r="F14" s="107"/>
      <c r="G14" s="123">
        <f>+SUMIF('Relatório &amp; Contas Preencher'!F:F,'Valores Ref. Inverno'!$A14,'Relatório &amp; Contas Preencher'!D:D)</f>
        <v>0</v>
      </c>
      <c r="H14" s="83"/>
      <c r="I14" s="83"/>
      <c r="J14" s="171">
        <f t="shared" si="6"/>
        <v>600</v>
      </c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12.75" customHeight="1" outlineLevel="1">
      <c r="A15" s="83" t="s">
        <v>34</v>
      </c>
      <c r="B15" s="121" t="s">
        <v>98</v>
      </c>
      <c r="C15" s="122">
        <v>150.0</v>
      </c>
      <c r="D15" s="122">
        <v>150.0</v>
      </c>
      <c r="E15" s="173">
        <v>0.0</v>
      </c>
      <c r="F15" s="107"/>
      <c r="G15" s="123">
        <f>+SUMIF('Relatório &amp; Contas Preencher'!F:F,'Valores Ref. Inverno'!$A15,'Relatório &amp; Contas Preencher'!D:D)</f>
        <v>0</v>
      </c>
      <c r="H15" s="83"/>
      <c r="I15" s="83"/>
      <c r="J15" s="171">
        <f t="shared" si="6"/>
        <v>0</v>
      </c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12.75" customHeight="1" outlineLevel="1">
      <c r="A16" s="83" t="s">
        <v>36</v>
      </c>
      <c r="B16" s="121" t="s">
        <v>99</v>
      </c>
      <c r="C16" s="138">
        <v>100.0</v>
      </c>
      <c r="D16" s="138">
        <v>100.0</v>
      </c>
      <c r="E16" s="138">
        <v>60.0</v>
      </c>
      <c r="F16" s="107"/>
      <c r="G16" s="123">
        <f>+SUMIF('Relatório &amp; Contas Preencher'!F:F,'Valores Ref. Inverno'!$A16,'Relatório &amp; Contas Preencher'!D:D)</f>
        <v>0</v>
      </c>
      <c r="H16" s="83"/>
      <c r="I16" s="83"/>
      <c r="J16" s="171">
        <f t="shared" si="6"/>
        <v>60</v>
      </c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12.75" customHeight="1" outlineLevel="1">
      <c r="A17" s="83" t="s">
        <v>38</v>
      </c>
      <c r="B17" s="121" t="s">
        <v>100</v>
      </c>
      <c r="C17" s="138">
        <v>120.0</v>
      </c>
      <c r="D17" s="138">
        <v>120.0</v>
      </c>
      <c r="E17" s="138">
        <v>0.0</v>
      </c>
      <c r="F17" s="107"/>
      <c r="G17" s="123">
        <f>+SUMIF('Relatório &amp; Contas Preencher'!F:F,'Valores Ref. Inverno'!$A17,'Relatório &amp; Contas Preencher'!D:D)</f>
        <v>0</v>
      </c>
      <c r="H17" s="83"/>
      <c r="I17" s="83"/>
      <c r="J17" s="171">
        <f t="shared" si="6"/>
        <v>0</v>
      </c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12.75" customHeight="1" outlineLevel="1">
      <c r="A18" s="83" t="s">
        <v>40</v>
      </c>
      <c r="B18" s="121" t="s">
        <v>101</v>
      </c>
      <c r="C18" s="138">
        <v>30.0</v>
      </c>
      <c r="D18" s="138">
        <v>30.0</v>
      </c>
      <c r="E18" s="138">
        <v>0.0</v>
      </c>
      <c r="F18" s="107"/>
      <c r="G18" s="123">
        <f>+SUMIF('Relatório &amp; Contas Preencher'!F:F,'Valores Ref. Inverno'!$A18,'Relatório &amp; Contas Preencher'!D:D)</f>
        <v>0</v>
      </c>
      <c r="H18" s="83"/>
      <c r="I18" s="83"/>
      <c r="J18" s="171">
        <f t="shared" si="6"/>
        <v>0</v>
      </c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12.75" customHeight="1">
      <c r="A19" s="83"/>
      <c r="B19" s="130" t="s">
        <v>78</v>
      </c>
      <c r="C19" s="118">
        <f t="shared" ref="C19:E19" si="7">+C20+C21+C22</f>
        <v>1850</v>
      </c>
      <c r="D19" s="118">
        <f t="shared" si="7"/>
        <v>0</v>
      </c>
      <c r="E19" s="118">
        <f t="shared" si="7"/>
        <v>450</v>
      </c>
      <c r="F19" s="107"/>
      <c r="G19" s="118">
        <f>+G20+G21+G22</f>
        <v>0</v>
      </c>
      <c r="H19" s="83"/>
      <c r="I19" s="83"/>
      <c r="J19" s="171">
        <f t="shared" si="6"/>
        <v>450</v>
      </c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12.75" customHeight="1" outlineLevel="1">
      <c r="A20" s="83" t="s">
        <v>42</v>
      </c>
      <c r="B20" s="121" t="s">
        <v>103</v>
      </c>
      <c r="C20" s="122">
        <v>1600.0</v>
      </c>
      <c r="D20" s="122">
        <v>0.0</v>
      </c>
      <c r="E20" s="122">
        <v>0.0</v>
      </c>
      <c r="F20" s="107"/>
      <c r="G20" s="123">
        <f>+SUMIF('Relatório &amp; Contas Preencher'!F:F,'Valores Ref. Inverno'!$A20,'Relatório &amp; Contas Preencher'!D:D)</f>
        <v>0</v>
      </c>
      <c r="H20" s="83"/>
      <c r="I20" s="83"/>
      <c r="J20" s="171">
        <f t="shared" si="6"/>
        <v>0</v>
      </c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2.75" customHeight="1" outlineLevel="1">
      <c r="A21" s="83" t="s">
        <v>44</v>
      </c>
      <c r="B21" s="121" t="s">
        <v>104</v>
      </c>
      <c r="C21" s="138">
        <v>0.0</v>
      </c>
      <c r="D21" s="138">
        <v>0.0</v>
      </c>
      <c r="E21" s="138">
        <v>450.0</v>
      </c>
      <c r="F21" s="107"/>
      <c r="G21" s="123">
        <f>+SUMIF('Relatório &amp; Contas Preencher'!F:F,'Valores Ref. Inverno'!$A21,'Relatório &amp; Contas Preencher'!D:D)</f>
        <v>0</v>
      </c>
      <c r="H21" s="83"/>
      <c r="I21" s="83"/>
      <c r="J21" s="171">
        <f t="shared" si="6"/>
        <v>450</v>
      </c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2.75" customHeight="1" outlineLevel="1">
      <c r="A22" s="83" t="s">
        <v>46</v>
      </c>
      <c r="B22" s="121" t="s">
        <v>105</v>
      </c>
      <c r="C22" s="138">
        <v>250.0</v>
      </c>
      <c r="D22" s="138">
        <v>0.0</v>
      </c>
      <c r="E22" s="138">
        <v>0.0</v>
      </c>
      <c r="F22" s="107"/>
      <c r="G22" s="123">
        <f>+SUMIF('Relatório &amp; Contas Preencher'!F:F,'Valores Ref. Inverno'!$A22,'Relatório &amp; Contas Preencher'!D:D)</f>
        <v>0</v>
      </c>
      <c r="H22" s="83"/>
      <c r="I22" s="83"/>
      <c r="J22" s="171">
        <f t="shared" si="6"/>
        <v>0</v>
      </c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3.5" customHeight="1">
      <c r="A23" s="83"/>
      <c r="B23" s="130" t="s">
        <v>79</v>
      </c>
      <c r="C23" s="118">
        <f t="shared" ref="C23:E23" si="8">+C24+C25</f>
        <v>100</v>
      </c>
      <c r="D23" s="118">
        <f t="shared" si="8"/>
        <v>50</v>
      </c>
      <c r="E23" s="118">
        <f t="shared" si="8"/>
        <v>30</v>
      </c>
      <c r="F23" s="107"/>
      <c r="G23" s="118">
        <f>+G24+G25</f>
        <v>0</v>
      </c>
      <c r="H23" s="83"/>
      <c r="I23" s="83"/>
      <c r="J23" s="171">
        <f t="shared" si="6"/>
        <v>30</v>
      </c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3.5" customHeight="1" outlineLevel="1">
      <c r="A24" s="83" t="s">
        <v>50</v>
      </c>
      <c r="B24" s="121" t="s">
        <v>108</v>
      </c>
      <c r="C24" s="138">
        <v>30.0</v>
      </c>
      <c r="D24" s="138">
        <v>30.0</v>
      </c>
      <c r="E24" s="138">
        <v>5.0</v>
      </c>
      <c r="F24" s="107"/>
      <c r="G24" s="123">
        <f>+SUMIF('Relatório &amp; Contas Preencher'!F:F,'Valores Ref. Inverno'!$A24,'Relatório &amp; Contas Preencher'!D:D)</f>
        <v>0</v>
      </c>
      <c r="H24" s="83"/>
      <c r="I24" s="83"/>
      <c r="J24" s="171">
        <f t="shared" si="6"/>
        <v>5</v>
      </c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3.5" customHeight="1" outlineLevel="1">
      <c r="A25" s="83" t="s">
        <v>52</v>
      </c>
      <c r="B25" s="121" t="s">
        <v>109</v>
      </c>
      <c r="C25" s="138">
        <v>70.0</v>
      </c>
      <c r="D25" s="138">
        <v>20.0</v>
      </c>
      <c r="E25" s="138">
        <v>25.0</v>
      </c>
      <c r="F25" s="107"/>
      <c r="G25" s="123">
        <f>+SUMIF('Relatório &amp; Contas Preencher'!F:F,'Valores Ref. Inverno'!$A25,'Relatório &amp; Contas Preencher'!D:D)</f>
        <v>0</v>
      </c>
      <c r="H25" s="83"/>
      <c r="I25" s="83"/>
      <c r="J25" s="171">
        <f t="shared" si="6"/>
        <v>25</v>
      </c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3.5" customHeight="1">
      <c r="A26" s="83"/>
      <c r="B26" s="130" t="s">
        <v>80</v>
      </c>
      <c r="C26" s="118">
        <f t="shared" ref="C26:E26" si="9">+C27+C28</f>
        <v>250</v>
      </c>
      <c r="D26" s="118">
        <f t="shared" si="9"/>
        <v>100</v>
      </c>
      <c r="E26" s="118">
        <f t="shared" si="9"/>
        <v>80</v>
      </c>
      <c r="F26" s="107"/>
      <c r="G26" s="118">
        <f>+G27+G28</f>
        <v>0</v>
      </c>
      <c r="H26" s="83"/>
      <c r="I26" s="83"/>
      <c r="J26" s="171">
        <f t="shared" si="6"/>
        <v>80</v>
      </c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2.75" customHeight="1" outlineLevel="1">
      <c r="A27" s="83" t="s">
        <v>54</v>
      </c>
      <c r="B27" s="121" t="s">
        <v>187</v>
      </c>
      <c r="C27" s="143">
        <v>250.0</v>
      </c>
      <c r="D27" s="143">
        <v>100.0</v>
      </c>
      <c r="E27" s="143">
        <v>80.0</v>
      </c>
      <c r="F27" s="107"/>
      <c r="G27" s="123">
        <f>+SUMIF('Relatório &amp; Contas Preencher'!F:F,'Valores Ref. Inverno'!$A27,'Relatório &amp; Contas Preencher'!D:D)</f>
        <v>0</v>
      </c>
      <c r="H27" s="83"/>
      <c r="I27" s="83"/>
      <c r="J27" s="171">
        <f t="shared" si="6"/>
        <v>80</v>
      </c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2.75" customHeight="1" outlineLevel="1">
      <c r="A28" s="83" t="s">
        <v>56</v>
      </c>
      <c r="B28" s="121" t="s">
        <v>112</v>
      </c>
      <c r="C28" s="143">
        <v>0.0</v>
      </c>
      <c r="D28" s="143">
        <v>0.0</v>
      </c>
      <c r="E28" s="143">
        <v>0.0</v>
      </c>
      <c r="F28" s="107"/>
      <c r="G28" s="123">
        <f>+SUMIF('Relatório &amp; Contas Preencher'!F:F,'Valores Ref. Inverno'!$A28,'Relatório &amp; Contas Preencher'!D:D)</f>
        <v>0</v>
      </c>
      <c r="H28" s="83"/>
      <c r="I28" s="83"/>
      <c r="J28" s="171">
        <f t="shared" si="6"/>
        <v>0</v>
      </c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2.75" customHeight="1">
      <c r="A29" s="83" t="s">
        <v>58</v>
      </c>
      <c r="B29" s="130" t="s">
        <v>188</v>
      </c>
      <c r="C29" s="118">
        <v>150.0</v>
      </c>
      <c r="D29" s="118">
        <v>30.0</v>
      </c>
      <c r="E29" s="118">
        <v>0.0</v>
      </c>
      <c r="F29" s="107"/>
      <c r="G29" s="119">
        <f>+SUMIF('Relatório &amp; Contas Preencher'!F:F,'Valores Ref. Inverno'!$A29,'Relatório &amp; Contas Preencher'!D:D)</f>
        <v>0</v>
      </c>
      <c r="H29" s="83"/>
      <c r="I29" s="83"/>
      <c r="J29" s="171">
        <f t="shared" si="6"/>
        <v>0</v>
      </c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2.75" customHeight="1">
      <c r="A30" s="83" t="s">
        <v>60</v>
      </c>
      <c r="B30" s="130" t="s">
        <v>189</v>
      </c>
      <c r="C30" s="118">
        <f>600+50</f>
        <v>650</v>
      </c>
      <c r="D30" s="118">
        <v>30.0</v>
      </c>
      <c r="E30" s="118">
        <v>30.0</v>
      </c>
      <c r="F30" s="107"/>
      <c r="G30" s="119">
        <f>+SUMIF('Relatório &amp; Contas Preencher'!F:F,'Valores Ref. Inverno'!$A30,'Relatório &amp; Contas Preencher'!D:D)</f>
        <v>0</v>
      </c>
      <c r="H30" s="83"/>
      <c r="I30" s="83"/>
      <c r="J30" s="171">
        <f t="shared" si="6"/>
        <v>30</v>
      </c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2.75" customHeight="1">
      <c r="A31" s="83"/>
      <c r="B31" s="174" t="s">
        <v>117</v>
      </c>
      <c r="C31" s="146">
        <f t="shared" ref="C31:E31" si="10">+C12-C13-C19-C23-C26-C29-C30</f>
        <v>140</v>
      </c>
      <c r="D31" s="146">
        <f t="shared" si="10"/>
        <v>15</v>
      </c>
      <c r="E31" s="146">
        <f t="shared" si="10"/>
        <v>35</v>
      </c>
      <c r="F31" s="107"/>
      <c r="G31" s="175"/>
      <c r="H31" s="83"/>
      <c r="I31" s="176" t="s">
        <v>190</v>
      </c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2.75" customHeight="1">
      <c r="A32" s="83"/>
      <c r="B32" s="147" t="s">
        <v>118</v>
      </c>
      <c r="C32" s="148">
        <f t="shared" ref="C32:E32" si="11">+C6+C9+C13+C19+C23+C26+C29+C30+C31</f>
        <v>4140</v>
      </c>
      <c r="D32" s="148">
        <f t="shared" si="11"/>
        <v>1225</v>
      </c>
      <c r="E32" s="148">
        <f t="shared" si="11"/>
        <v>1385</v>
      </c>
      <c r="F32" s="107"/>
      <c r="G32" s="149">
        <f>+G6+G9+G13+G19+G23+G26+G29+G30+G31</f>
        <v>10</v>
      </c>
      <c r="H32" s="83"/>
      <c r="I32" s="177" t="str">
        <f>IFERROR((G4-G32),"")</f>
        <v/>
      </c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2.75" customHeight="1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2.75" customHeight="1">
      <c r="A34" s="83"/>
      <c r="B34" s="150" t="s">
        <v>119</v>
      </c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2.75" customHeight="1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2.75" customHeight="1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5.75" customHeight="1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5.75" customHeight="1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5.75" customHeight="1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5.75" customHeight="1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15.75" customHeight="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5.75" customHeight="1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5.75" customHeight="1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15.75" customHeight="1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15.75" customHeight="1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5.75" customHeight="1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5.75" customHeight="1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5.75" customHeight="1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5.75" customHeight="1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5.75" customHeight="1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5.75" customHeight="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5.75" customHeight="1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5.75" customHeight="1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5.75" customHeight="1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5.75" customHeight="1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5.75" customHeight="1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5.75" customHeight="1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5.75" customHeight="1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5.75" customHeight="1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5.75" customHeight="1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5.7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5.75" customHeight="1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5.75" customHeight="1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5.75" customHeight="1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5.7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5.75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5.75" customHeight="1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5.75" customHeight="1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5.75" customHeight="1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5.75" customHeight="1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5.75" customHeight="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5.75" customHeight="1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5.75" customHeight="1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5.7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5.75" customHeight="1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5.75" customHeight="1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5.7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5.75" customHeight="1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5.75" customHeight="1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5.75" customHeight="1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5.75" customHeight="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5.75" customHeight="1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5.75" customHeight="1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5.75" customHeight="1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5.75" customHeight="1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5.75" customHeight="1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5.75" customHeight="1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5.75" customHeight="1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5.75" customHeight="1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5.75" customHeight="1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5.75" customHeight="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5.75" customHeight="1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5.75" customHeight="1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5.75" customHeight="1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5.75" customHeight="1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5.75" customHeight="1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5.75" customHeight="1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5.75" customHeight="1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5.75" customHeight="1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5.7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5.7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5.7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5.7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5.7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5.7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5.7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5.7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5.7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5.7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5.7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5.7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5.7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5.7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5.7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5.7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5.7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5.7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5.7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5.7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5.7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5.7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5.7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5.7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5.7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5.7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5.7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5.7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5.7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5.7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5.7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5.7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5.7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5.7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5.7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5.7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5.7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5.7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5.7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5.7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5.7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5.7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5.7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5.7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5.7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5.7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5.7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5.7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5.7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5.7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5.7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5.7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5.7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5.7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5.7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5.7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5.7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5.7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5.7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5.7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5.7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5.7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5.7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5.7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5.7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5.7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5.7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5.7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5.7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5.7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5.7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5.7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5.7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5.7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5.7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5.7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5.7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5.7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5.7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5.7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5.7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5.7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5.7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5.7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5.7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5.7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5.7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5.7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5.7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5.7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5.7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5.7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5.7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5.7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5.7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5.7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5.7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5.7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5.7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5.7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5.7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5.7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5.7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5.7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5.7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5.7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5.7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5.7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5.7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5.7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5.7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5.7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5.7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5.7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5.7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5.7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5.7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5.7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5.7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5.7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5.7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5.75" customHeight="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15.75" customHeight="1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5.75" customHeight="1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15.75" customHeight="1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15.75" customHeight="1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15.75" customHeight="1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15.75" customHeight="1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15.7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15.7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15.7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15.7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15.7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15.7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15.7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bottom="0.7480314960629921" footer="0.0" header="0.0" left="0.31496062992125984" right="0.31496062992125984" top="1.3385826771653544"/>
  <pageSetup paperSize="9" scale="77" orientation="portrait"/>
  <headerFooter>
    <oddHeader>&amp;C&amp;F &amp;A</oddHeader>
    <oddFooter>&amp;R&amp;D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11.0"/>
    <col customWidth="1" min="3" max="3" width="3.43"/>
    <col customWidth="1" min="4" max="4" width="7.14"/>
    <col customWidth="1" min="5" max="5" width="17.29"/>
    <col customWidth="1" min="6" max="6" width="13.43"/>
    <col customWidth="1" min="7" max="7" width="8.0"/>
    <col customWidth="1" min="8" max="8" width="28.57"/>
    <col customWidth="1" min="9" max="9" width="27.86"/>
    <col customWidth="1" min="10" max="10" width="7.14"/>
    <col customWidth="1" min="11" max="11" width="14.29"/>
    <col customWidth="1" min="12" max="12" width="17.29"/>
    <col customWidth="1" min="13" max="13" width="7.14"/>
    <col customWidth="1" min="14" max="14" width="2.71"/>
    <col customWidth="1" min="15" max="15" width="7.43"/>
    <col customWidth="1" min="16" max="16" width="55.71"/>
    <col customWidth="1" min="17" max="17" width="52.0"/>
  </cols>
  <sheetData>
    <row r="1" ht="30.75" customHeight="1">
      <c r="A1" s="178" t="s">
        <v>191</v>
      </c>
      <c r="B1" s="179" t="s">
        <v>192</v>
      </c>
      <c r="C1" s="180"/>
      <c r="D1" s="178" t="s">
        <v>191</v>
      </c>
      <c r="E1" s="179" t="s">
        <v>192</v>
      </c>
      <c r="F1" s="179" t="s">
        <v>192</v>
      </c>
      <c r="G1" s="178" t="s">
        <v>191</v>
      </c>
      <c r="H1" s="178" t="s">
        <v>193</v>
      </c>
      <c r="I1" s="178" t="s">
        <v>194</v>
      </c>
      <c r="J1" s="180"/>
      <c r="K1" s="181" t="s">
        <v>195</v>
      </c>
      <c r="L1" s="182" t="s">
        <v>196</v>
      </c>
      <c r="M1" s="178" t="s">
        <v>191</v>
      </c>
      <c r="N1" s="180"/>
      <c r="O1" s="183" t="s">
        <v>91</v>
      </c>
      <c r="P1" s="183" t="s">
        <v>197</v>
      </c>
      <c r="Q1" s="184" t="s">
        <v>198</v>
      </c>
      <c r="R1" s="180"/>
      <c r="S1" s="180"/>
      <c r="T1" s="180"/>
      <c r="U1" s="180"/>
      <c r="V1" s="180"/>
      <c r="W1" s="180"/>
      <c r="X1" s="180"/>
      <c r="Y1" s="180"/>
      <c r="Z1" s="180"/>
    </row>
    <row r="2" ht="15.75" customHeight="1">
      <c r="A2" s="79">
        <v>1.0</v>
      </c>
      <c r="B2" s="185" t="s">
        <v>199</v>
      </c>
      <c r="C2" s="180"/>
      <c r="D2" s="79">
        <v>1.0</v>
      </c>
      <c r="E2" s="185" t="s">
        <v>138</v>
      </c>
      <c r="F2" s="185" t="s">
        <v>199</v>
      </c>
      <c r="G2" s="186">
        <v>1.0</v>
      </c>
      <c r="H2" s="187"/>
      <c r="I2" s="188" t="s">
        <v>200</v>
      </c>
      <c r="J2" s="180"/>
      <c r="K2" s="79" t="s">
        <v>201</v>
      </c>
      <c r="L2" s="187" t="s">
        <v>67</v>
      </c>
      <c r="M2" s="79">
        <v>1.0</v>
      </c>
      <c r="N2" s="180"/>
      <c r="O2" s="189" t="s">
        <v>18</v>
      </c>
      <c r="P2" s="190" t="s">
        <v>18</v>
      </c>
      <c r="Q2" s="190" t="s">
        <v>18</v>
      </c>
      <c r="R2" s="180"/>
      <c r="S2" s="180"/>
      <c r="T2" s="180"/>
      <c r="U2" s="180"/>
      <c r="V2" s="180"/>
      <c r="W2" s="180"/>
      <c r="X2" s="180"/>
      <c r="Y2" s="180"/>
      <c r="Z2" s="180"/>
    </row>
    <row r="3" ht="15.75" customHeight="1">
      <c r="A3" s="79">
        <v>2.0</v>
      </c>
      <c r="B3" s="191" t="s">
        <v>202</v>
      </c>
      <c r="C3" s="180"/>
      <c r="D3" s="79">
        <v>1.0</v>
      </c>
      <c r="E3" s="185" t="s">
        <v>142</v>
      </c>
      <c r="F3" s="185" t="s">
        <v>199</v>
      </c>
      <c r="G3" s="186" t="s">
        <v>21</v>
      </c>
      <c r="I3" s="188" t="s">
        <v>203</v>
      </c>
      <c r="J3" s="180"/>
      <c r="K3" s="79" t="s">
        <v>204</v>
      </c>
      <c r="L3" s="187" t="s">
        <v>68</v>
      </c>
      <c r="M3" s="79">
        <v>2.0</v>
      </c>
      <c r="N3" s="180"/>
      <c r="O3" s="192" t="s">
        <v>21</v>
      </c>
      <c r="P3" s="193" t="s">
        <v>205</v>
      </c>
      <c r="Q3" s="194" t="s">
        <v>92</v>
      </c>
      <c r="R3" s="180"/>
      <c r="S3" s="180"/>
      <c r="T3" s="180"/>
      <c r="U3" s="180"/>
      <c r="V3" s="180"/>
      <c r="W3" s="180"/>
      <c r="X3" s="180"/>
      <c r="Y3" s="180"/>
      <c r="Z3" s="180"/>
    </row>
    <row r="4" ht="15.75" customHeight="1">
      <c r="A4" s="79">
        <v>3.0</v>
      </c>
      <c r="B4" s="195" t="s">
        <v>206</v>
      </c>
      <c r="C4" s="180"/>
      <c r="D4" s="79">
        <v>2.0</v>
      </c>
      <c r="E4" s="191" t="s">
        <v>146</v>
      </c>
      <c r="F4" s="191" t="s">
        <v>202</v>
      </c>
      <c r="G4" s="186" t="s">
        <v>28</v>
      </c>
      <c r="H4" s="187"/>
      <c r="I4" s="188" t="s">
        <v>207</v>
      </c>
      <c r="J4" s="180"/>
      <c r="K4" s="180"/>
      <c r="L4" s="187" t="s">
        <v>69</v>
      </c>
      <c r="M4" s="79">
        <v>3.0</v>
      </c>
      <c r="N4" s="180"/>
      <c r="O4" s="192" t="s">
        <v>26</v>
      </c>
      <c r="P4" s="193" t="s">
        <v>208</v>
      </c>
      <c r="Q4" s="194" t="s">
        <v>93</v>
      </c>
      <c r="R4" s="180"/>
      <c r="S4" s="180"/>
      <c r="T4" s="180"/>
      <c r="U4" s="180"/>
      <c r="V4" s="180"/>
      <c r="W4" s="180"/>
      <c r="X4" s="180"/>
      <c r="Y4" s="180"/>
      <c r="Z4" s="180"/>
    </row>
    <row r="5" ht="15.75" customHeight="1">
      <c r="A5" s="79">
        <v>4.0</v>
      </c>
      <c r="B5" s="196" t="s">
        <v>209</v>
      </c>
      <c r="C5" s="180"/>
      <c r="D5" s="79">
        <v>2.0</v>
      </c>
      <c r="E5" s="191" t="s">
        <v>150</v>
      </c>
      <c r="F5" s="191" t="s">
        <v>202</v>
      </c>
      <c r="G5" s="186" t="s">
        <v>30</v>
      </c>
      <c r="H5" s="187"/>
      <c r="I5" s="188" t="s">
        <v>210</v>
      </c>
      <c r="J5" s="180"/>
      <c r="K5" s="180"/>
      <c r="L5" s="187" t="s">
        <v>211</v>
      </c>
      <c r="M5" s="79">
        <v>4.0</v>
      </c>
      <c r="N5" s="180"/>
      <c r="O5" s="192" t="s">
        <v>28</v>
      </c>
      <c r="P5" s="193" t="s">
        <v>212</v>
      </c>
      <c r="Q5" s="194" t="s">
        <v>94</v>
      </c>
      <c r="R5" s="180"/>
      <c r="S5" s="180"/>
      <c r="T5" s="180"/>
      <c r="U5" s="180"/>
      <c r="V5" s="180"/>
      <c r="W5" s="180"/>
      <c r="X5" s="180"/>
      <c r="Y5" s="180"/>
      <c r="Z5" s="180"/>
    </row>
    <row r="6" ht="15.75" customHeight="1">
      <c r="A6" s="79">
        <v>5.0</v>
      </c>
      <c r="B6" s="197" t="s">
        <v>213</v>
      </c>
      <c r="C6" s="180"/>
      <c r="D6" s="79">
        <v>2.0</v>
      </c>
      <c r="E6" s="191" t="s">
        <v>154</v>
      </c>
      <c r="F6" s="191" t="s">
        <v>202</v>
      </c>
      <c r="G6" s="186" t="s">
        <v>214</v>
      </c>
      <c r="H6" s="187"/>
      <c r="I6" s="167" t="s">
        <v>215</v>
      </c>
      <c r="J6" s="180"/>
      <c r="K6" s="180"/>
      <c r="L6" s="79" t="s">
        <v>216</v>
      </c>
      <c r="M6" s="79">
        <v>4.1</v>
      </c>
      <c r="N6" s="180"/>
      <c r="O6" s="192" t="s">
        <v>30</v>
      </c>
      <c r="P6" s="193" t="s">
        <v>217</v>
      </c>
      <c r="Q6" s="194" t="s">
        <v>95</v>
      </c>
      <c r="R6" s="180"/>
      <c r="S6" s="180"/>
      <c r="T6" s="180"/>
      <c r="U6" s="180"/>
      <c r="V6" s="180"/>
      <c r="W6" s="180"/>
      <c r="X6" s="180"/>
      <c r="Y6" s="180"/>
      <c r="Z6" s="180"/>
    </row>
    <row r="7" ht="15.75" customHeight="1">
      <c r="A7" s="79">
        <v>6.0</v>
      </c>
      <c r="B7" s="198" t="s">
        <v>183</v>
      </c>
      <c r="C7" s="180"/>
      <c r="D7" s="79">
        <v>3.0</v>
      </c>
      <c r="E7" s="195" t="s">
        <v>158</v>
      </c>
      <c r="F7" s="195" t="s">
        <v>206</v>
      </c>
      <c r="G7" s="186" t="s">
        <v>218</v>
      </c>
      <c r="H7" s="187"/>
      <c r="I7" s="167" t="s">
        <v>210</v>
      </c>
      <c r="J7" s="180"/>
      <c r="K7" s="180"/>
      <c r="L7" s="187" t="s">
        <v>219</v>
      </c>
      <c r="M7" s="79">
        <v>5.0</v>
      </c>
      <c r="N7" s="180"/>
      <c r="O7" s="192" t="s">
        <v>32</v>
      </c>
      <c r="P7" s="194" t="s">
        <v>220</v>
      </c>
      <c r="Q7" s="194" t="s">
        <v>221</v>
      </c>
      <c r="R7" s="180"/>
      <c r="S7" s="180"/>
      <c r="T7" s="180"/>
      <c r="U7" s="180"/>
      <c r="V7" s="180"/>
      <c r="W7" s="180"/>
      <c r="X7" s="180"/>
      <c r="Y7" s="180"/>
      <c r="Z7" s="180"/>
    </row>
    <row r="8" ht="15.75" customHeight="1">
      <c r="A8" s="79">
        <v>7.0</v>
      </c>
      <c r="B8" s="198" t="s">
        <v>184</v>
      </c>
      <c r="C8" s="180"/>
      <c r="D8" s="79">
        <v>3.0</v>
      </c>
      <c r="E8" s="195" t="s">
        <v>162</v>
      </c>
      <c r="F8" s="195" t="s">
        <v>206</v>
      </c>
      <c r="G8" s="186" t="s">
        <v>222</v>
      </c>
      <c r="H8" s="187"/>
      <c r="I8" s="188" t="s">
        <v>215</v>
      </c>
      <c r="J8" s="180"/>
      <c r="K8" s="180"/>
      <c r="L8" s="187" t="s">
        <v>223</v>
      </c>
      <c r="M8" s="79">
        <v>6.0</v>
      </c>
      <c r="N8" s="180"/>
      <c r="O8" s="192" t="s">
        <v>34</v>
      </c>
      <c r="P8" s="194" t="s">
        <v>224</v>
      </c>
      <c r="Q8" s="194" t="s">
        <v>98</v>
      </c>
      <c r="R8" s="180"/>
      <c r="S8" s="180"/>
      <c r="T8" s="180"/>
      <c r="U8" s="180"/>
      <c r="V8" s="180"/>
      <c r="W8" s="180"/>
      <c r="X8" s="180"/>
      <c r="Y8" s="180"/>
      <c r="Z8" s="180"/>
    </row>
    <row r="9" ht="15.75" customHeight="1">
      <c r="A9" s="79">
        <v>8.0</v>
      </c>
      <c r="B9" s="199" t="s">
        <v>185</v>
      </c>
      <c r="C9" s="180"/>
      <c r="D9" s="79">
        <v>3.0</v>
      </c>
      <c r="E9" s="195" t="s">
        <v>166</v>
      </c>
      <c r="F9" s="195" t="s">
        <v>206</v>
      </c>
      <c r="G9" s="186" t="s">
        <v>225</v>
      </c>
      <c r="H9" s="187"/>
      <c r="I9" s="167" t="s">
        <v>226</v>
      </c>
      <c r="J9" s="180"/>
      <c r="K9" s="180"/>
      <c r="L9" s="187" t="s">
        <v>227</v>
      </c>
      <c r="M9" s="79">
        <v>7.0</v>
      </c>
      <c r="N9" s="180"/>
      <c r="O9" s="192" t="s">
        <v>36</v>
      </c>
      <c r="P9" s="194" t="s">
        <v>228</v>
      </c>
      <c r="Q9" s="194" t="s">
        <v>99</v>
      </c>
      <c r="R9" s="180"/>
      <c r="S9" s="180"/>
      <c r="T9" s="180"/>
      <c r="U9" s="180"/>
      <c r="V9" s="180"/>
      <c r="W9" s="180"/>
      <c r="X9" s="180"/>
      <c r="Y9" s="180"/>
      <c r="Z9" s="180"/>
    </row>
    <row r="10" ht="15.75" customHeight="1">
      <c r="A10" s="180"/>
      <c r="B10" s="180"/>
      <c r="C10" s="180"/>
      <c r="D10" s="79">
        <v>4.0</v>
      </c>
      <c r="E10" s="196" t="s">
        <v>170</v>
      </c>
      <c r="F10" s="196" t="s">
        <v>209</v>
      </c>
      <c r="G10" s="186" t="s">
        <v>229</v>
      </c>
      <c r="H10" s="187"/>
      <c r="I10" s="188" t="s">
        <v>207</v>
      </c>
      <c r="J10" s="180"/>
      <c r="K10" s="180"/>
      <c r="L10" s="180"/>
      <c r="M10" s="180"/>
      <c r="N10" s="180"/>
      <c r="O10" s="192" t="s">
        <v>38</v>
      </c>
      <c r="P10" s="194" t="s">
        <v>230</v>
      </c>
      <c r="Q10" s="194" t="s">
        <v>100</v>
      </c>
      <c r="R10" s="180"/>
      <c r="S10" s="180"/>
      <c r="T10" s="180"/>
      <c r="U10" s="180"/>
      <c r="V10" s="180"/>
      <c r="W10" s="180"/>
      <c r="X10" s="180"/>
      <c r="Y10" s="180"/>
      <c r="Z10" s="180"/>
    </row>
    <row r="11" ht="15.75" customHeight="1">
      <c r="A11" s="180"/>
      <c r="B11" s="180"/>
      <c r="C11" s="180"/>
      <c r="D11" s="79">
        <v>4.0</v>
      </c>
      <c r="E11" s="196" t="s">
        <v>174</v>
      </c>
      <c r="F11" s="196" t="s">
        <v>209</v>
      </c>
      <c r="G11" s="186" t="s">
        <v>231</v>
      </c>
      <c r="H11" s="187"/>
      <c r="I11" s="188" t="s">
        <v>226</v>
      </c>
      <c r="J11" s="180"/>
      <c r="K11" s="180"/>
      <c r="L11" s="180"/>
      <c r="M11" s="180"/>
      <c r="N11" s="180"/>
      <c r="O11" s="192" t="s">
        <v>40</v>
      </c>
      <c r="P11" s="194" t="s">
        <v>232</v>
      </c>
      <c r="Q11" s="194" t="s">
        <v>101</v>
      </c>
      <c r="R11" s="180"/>
      <c r="S11" s="180"/>
      <c r="T11" s="180"/>
      <c r="U11" s="180"/>
      <c r="V11" s="180"/>
      <c r="W11" s="180"/>
      <c r="X11" s="180"/>
      <c r="Y11" s="180"/>
      <c r="Z11" s="180"/>
    </row>
    <row r="12" ht="15.75" customHeight="1">
      <c r="A12" s="180"/>
      <c r="B12" s="180"/>
      <c r="C12" s="180"/>
      <c r="D12" s="79">
        <v>4.0</v>
      </c>
      <c r="E12" s="196" t="s">
        <v>233</v>
      </c>
      <c r="F12" s="196" t="s">
        <v>209</v>
      </c>
      <c r="G12" s="186" t="s">
        <v>234</v>
      </c>
      <c r="H12" s="187"/>
      <c r="I12" s="188" t="s">
        <v>235</v>
      </c>
      <c r="J12" s="180"/>
      <c r="K12" s="180"/>
      <c r="L12" s="180"/>
      <c r="M12" s="180"/>
      <c r="N12" s="180"/>
      <c r="O12" s="192" t="s">
        <v>42</v>
      </c>
      <c r="P12" s="194" t="s">
        <v>236</v>
      </c>
      <c r="Q12" s="194" t="s">
        <v>103</v>
      </c>
      <c r="R12" s="180"/>
      <c r="S12" s="180"/>
      <c r="T12" s="180"/>
      <c r="U12" s="180"/>
      <c r="V12" s="180"/>
      <c r="W12" s="180"/>
      <c r="X12" s="180"/>
      <c r="Y12" s="180"/>
      <c r="Z12" s="180"/>
    </row>
    <row r="13" ht="15.75" customHeight="1">
      <c r="A13" s="180"/>
      <c r="B13" s="180"/>
      <c r="C13" s="180"/>
      <c r="D13" s="79">
        <v>5.0</v>
      </c>
      <c r="E13" s="197" t="s">
        <v>178</v>
      </c>
      <c r="F13" s="197" t="s">
        <v>213</v>
      </c>
      <c r="G13" s="200">
        <v>44682.0</v>
      </c>
      <c r="H13" s="187"/>
      <c r="I13" s="188" t="s">
        <v>215</v>
      </c>
      <c r="J13" s="180"/>
      <c r="K13" s="180"/>
      <c r="L13" s="180"/>
      <c r="M13" s="180"/>
      <c r="N13" s="180"/>
      <c r="O13" s="192" t="s">
        <v>44</v>
      </c>
      <c r="P13" s="194" t="s">
        <v>237</v>
      </c>
      <c r="Q13" s="194" t="s">
        <v>104</v>
      </c>
      <c r="R13" s="180"/>
      <c r="S13" s="180"/>
      <c r="T13" s="180"/>
      <c r="U13" s="180"/>
      <c r="V13" s="180"/>
      <c r="W13" s="180"/>
      <c r="X13" s="180"/>
      <c r="Y13" s="180"/>
      <c r="Z13" s="180"/>
    </row>
    <row r="14" ht="15.75" customHeight="1">
      <c r="A14" s="180"/>
      <c r="B14" s="180"/>
      <c r="C14" s="180"/>
      <c r="D14" s="180">
        <v>6.0</v>
      </c>
      <c r="E14" s="197" t="s">
        <v>238</v>
      </c>
      <c r="F14" s="197" t="s">
        <v>213</v>
      </c>
      <c r="G14" s="201">
        <v>44683.0</v>
      </c>
      <c r="H14" s="187"/>
      <c r="I14" s="168" t="s">
        <v>235</v>
      </c>
      <c r="J14" s="180"/>
      <c r="K14" s="180"/>
      <c r="L14" s="180"/>
      <c r="M14" s="180"/>
      <c r="N14" s="180"/>
      <c r="O14" s="192" t="s">
        <v>46</v>
      </c>
      <c r="P14" s="194" t="s">
        <v>239</v>
      </c>
      <c r="Q14" s="194" t="s">
        <v>105</v>
      </c>
      <c r="R14" s="180"/>
      <c r="S14" s="180"/>
      <c r="T14" s="180"/>
      <c r="U14" s="180"/>
      <c r="V14" s="180"/>
      <c r="W14" s="180"/>
      <c r="X14" s="180"/>
      <c r="Y14" s="180"/>
      <c r="Z14" s="180"/>
    </row>
    <row r="15" ht="15.75" customHeight="1">
      <c r="A15" s="180"/>
      <c r="B15" s="180"/>
      <c r="C15" s="180"/>
      <c r="D15" s="180">
        <v>7.0</v>
      </c>
      <c r="E15" s="79" t="s">
        <v>183</v>
      </c>
      <c r="F15" s="79" t="s">
        <v>183</v>
      </c>
      <c r="G15" s="180">
        <v>6.0</v>
      </c>
      <c r="H15" s="187"/>
      <c r="I15" s="167" t="s">
        <v>240</v>
      </c>
      <c r="J15" s="180"/>
      <c r="K15" s="180"/>
      <c r="L15" s="180"/>
      <c r="M15" s="180"/>
      <c r="N15" s="180"/>
      <c r="O15" s="192" t="s">
        <v>48</v>
      </c>
      <c r="P15" s="194" t="s">
        <v>241</v>
      </c>
      <c r="Q15" s="194" t="s">
        <v>106</v>
      </c>
      <c r="R15" s="180"/>
      <c r="S15" s="180"/>
      <c r="T15" s="180"/>
      <c r="U15" s="180"/>
      <c r="V15" s="180"/>
      <c r="W15" s="180"/>
      <c r="X15" s="180"/>
      <c r="Y15" s="180"/>
      <c r="Z15" s="180"/>
    </row>
    <row r="16" ht="15.75" customHeight="1">
      <c r="A16" s="180"/>
      <c r="B16" s="180"/>
      <c r="C16" s="180"/>
      <c r="D16" s="180">
        <v>8.0</v>
      </c>
      <c r="E16" s="79" t="s">
        <v>184</v>
      </c>
      <c r="F16" s="79" t="s">
        <v>184</v>
      </c>
      <c r="G16" s="180">
        <v>7.0</v>
      </c>
      <c r="H16" s="187"/>
      <c r="I16" s="167" t="s">
        <v>240</v>
      </c>
      <c r="J16" s="180"/>
      <c r="L16" s="180"/>
      <c r="M16" s="180"/>
      <c r="N16" s="180"/>
      <c r="O16" s="192" t="s">
        <v>50</v>
      </c>
      <c r="P16" s="194" t="s">
        <v>242</v>
      </c>
      <c r="Q16" s="194" t="s">
        <v>108</v>
      </c>
      <c r="R16" s="180"/>
      <c r="S16" s="180"/>
      <c r="T16" s="180"/>
      <c r="U16" s="180"/>
      <c r="V16" s="180"/>
      <c r="W16" s="180"/>
      <c r="X16" s="180"/>
      <c r="Y16" s="180"/>
      <c r="Z16" s="180"/>
    </row>
    <row r="17" ht="15.75" customHeight="1">
      <c r="A17" s="180"/>
      <c r="B17" s="180"/>
      <c r="C17" s="180"/>
      <c r="D17" s="180"/>
      <c r="E17" s="199" t="s">
        <v>185</v>
      </c>
      <c r="F17" s="199" t="s">
        <v>185</v>
      </c>
      <c r="G17" s="180">
        <v>8.0</v>
      </c>
      <c r="H17" s="187"/>
      <c r="I17" s="167" t="s">
        <v>243</v>
      </c>
      <c r="J17" s="180"/>
      <c r="L17" s="180"/>
      <c r="M17" s="180"/>
      <c r="N17" s="180"/>
      <c r="O17" s="192" t="s">
        <v>52</v>
      </c>
      <c r="P17" s="194" t="s">
        <v>244</v>
      </c>
      <c r="Q17" s="194" t="s">
        <v>109</v>
      </c>
      <c r="R17" s="180"/>
      <c r="S17" s="180"/>
      <c r="T17" s="180"/>
      <c r="U17" s="180"/>
      <c r="V17" s="180"/>
      <c r="W17" s="180"/>
      <c r="X17" s="180"/>
      <c r="Y17" s="180"/>
      <c r="Z17" s="180"/>
    </row>
    <row r="18" ht="15.75" customHeight="1">
      <c r="A18" s="180"/>
      <c r="B18" s="180"/>
      <c r="C18" s="180"/>
      <c r="D18" s="180"/>
      <c r="E18" s="180"/>
      <c r="F18" s="180"/>
      <c r="G18" s="180"/>
      <c r="H18" s="180"/>
      <c r="I18" s="180"/>
      <c r="J18" s="180"/>
      <c r="L18" s="180"/>
      <c r="M18" s="180"/>
      <c r="N18" s="180"/>
      <c r="O18" s="192" t="s">
        <v>54</v>
      </c>
      <c r="P18" s="194" t="s">
        <v>245</v>
      </c>
      <c r="Q18" s="194" t="s">
        <v>187</v>
      </c>
      <c r="R18" s="180"/>
      <c r="S18" s="180"/>
      <c r="T18" s="180"/>
      <c r="U18" s="180"/>
      <c r="V18" s="180"/>
      <c r="W18" s="180"/>
      <c r="X18" s="180"/>
      <c r="Y18" s="180"/>
      <c r="Z18" s="180"/>
    </row>
    <row r="19" ht="15.75" customHeight="1">
      <c r="A19" s="180"/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92" t="s">
        <v>56</v>
      </c>
      <c r="P19" s="194" t="s">
        <v>246</v>
      </c>
      <c r="Q19" s="194" t="s">
        <v>112</v>
      </c>
      <c r="R19" s="180"/>
      <c r="S19" s="180"/>
      <c r="T19" s="180"/>
      <c r="U19" s="180"/>
      <c r="V19" s="180"/>
      <c r="W19" s="180"/>
      <c r="X19" s="180"/>
      <c r="Y19" s="180"/>
      <c r="Z19" s="180"/>
    </row>
    <row r="20" ht="15.75" customHeight="1">
      <c r="A20" s="180"/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92" t="s">
        <v>58</v>
      </c>
      <c r="P20" s="194" t="s">
        <v>57</v>
      </c>
      <c r="Q20" s="194" t="s">
        <v>81</v>
      </c>
      <c r="R20" s="180"/>
      <c r="S20" s="180"/>
      <c r="T20" s="180"/>
      <c r="U20" s="180"/>
      <c r="V20" s="180"/>
      <c r="W20" s="180"/>
      <c r="X20" s="180"/>
      <c r="Y20" s="180"/>
      <c r="Z20" s="180"/>
    </row>
    <row r="21" ht="15.75" customHeight="1">
      <c r="A21" s="180"/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92" t="s">
        <v>60</v>
      </c>
      <c r="P21" s="194" t="s">
        <v>59</v>
      </c>
      <c r="Q21" s="194" t="s">
        <v>82</v>
      </c>
      <c r="R21" s="180"/>
      <c r="S21" s="180"/>
      <c r="T21" s="180"/>
      <c r="U21" s="180"/>
      <c r="V21" s="180"/>
      <c r="W21" s="180"/>
      <c r="X21" s="180"/>
      <c r="Y21" s="180"/>
      <c r="Z21" s="180"/>
    </row>
    <row r="22" ht="15.75" customHeight="1">
      <c r="A22" s="180"/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202" t="s">
        <v>115</v>
      </c>
      <c r="P22" s="194" t="s">
        <v>61</v>
      </c>
      <c r="Q22" s="194" t="s">
        <v>83</v>
      </c>
      <c r="R22" s="180"/>
      <c r="S22" s="180"/>
      <c r="T22" s="180"/>
      <c r="U22" s="180"/>
      <c r="V22" s="180"/>
      <c r="W22" s="180"/>
      <c r="X22" s="180"/>
      <c r="Y22" s="180"/>
      <c r="Z22" s="180"/>
    </row>
    <row r="23" ht="15.75" customHeight="1">
      <c r="A23" s="180"/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</row>
    <row r="24" ht="15.75" customHeight="1">
      <c r="A24" s="180"/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</row>
    <row r="25" ht="15.75" customHeight="1">
      <c r="A25" s="180"/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</row>
    <row r="26" ht="15.75" customHeight="1">
      <c r="A26" s="180"/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</row>
    <row r="27" ht="15.75" customHeight="1">
      <c r="A27" s="180"/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</row>
    <row r="28" ht="15.75" customHeight="1">
      <c r="A28" s="180"/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</row>
    <row r="29" ht="15.75" customHeight="1">
      <c r="A29" s="180"/>
      <c r="B29" s="180"/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</row>
    <row r="30" ht="15.75" customHeight="1">
      <c r="A30" s="180"/>
      <c r="B30" s="180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</row>
    <row r="31" ht="15.75" customHeight="1">
      <c r="A31" s="180"/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</row>
    <row r="32" ht="15.75" customHeight="1">
      <c r="A32" s="180"/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</row>
    <row r="33" ht="15.75" customHeight="1">
      <c r="A33" s="180"/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</row>
    <row r="34" ht="15.75" customHeight="1">
      <c r="A34" s="180"/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</row>
    <row r="35" ht="15.75" customHeight="1">
      <c r="A35" s="180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</row>
    <row r="36" ht="15.75" customHeight="1">
      <c r="A36" s="180"/>
      <c r="B36" s="180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</row>
    <row r="37" ht="15.75" customHeight="1">
      <c r="A37" s="180"/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</row>
    <row r="38" ht="15.75" customHeight="1">
      <c r="A38" s="180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</row>
    <row r="39" ht="15.75" customHeight="1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</row>
    <row r="40" ht="15.75" customHeight="1">
      <c r="A40" s="180"/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</row>
    <row r="41" ht="15.75" customHeight="1">
      <c r="A41" s="180"/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</row>
    <row r="42" ht="15.75" customHeight="1">
      <c r="A42" s="180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</row>
    <row r="43" ht="15.75" customHeight="1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</row>
    <row r="44" ht="15.75" customHeight="1">
      <c r="A44" s="180"/>
      <c r="B44" s="180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</row>
    <row r="45" ht="15.75" customHeight="1">
      <c r="A45" s="180"/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</row>
    <row r="46" ht="15.75" customHeight="1">
      <c r="A46" s="180"/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</row>
    <row r="47" ht="15.75" customHeight="1">
      <c r="A47" s="180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</row>
    <row r="48" ht="15.75" customHeight="1">
      <c r="A48" s="180"/>
      <c r="B48" s="180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</row>
    <row r="49" ht="15.75" customHeight="1">
      <c r="A49" s="180"/>
      <c r="B49" s="180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</row>
    <row r="50" ht="15.75" customHeight="1">
      <c r="A50" s="180"/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</row>
    <row r="51" ht="15.75" customHeight="1">
      <c r="A51" s="180"/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</row>
    <row r="52" ht="15.75" customHeight="1">
      <c r="A52" s="180"/>
      <c r="B52" s="180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</row>
    <row r="53" ht="15.75" customHeight="1">
      <c r="A53" s="180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</row>
    <row r="54" ht="15.75" customHeight="1">
      <c r="A54" s="180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</row>
    <row r="55" ht="15.75" customHeight="1">
      <c r="A55" s="180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</row>
    <row r="56" ht="15.75" customHeight="1">
      <c r="A56" s="180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</row>
    <row r="57" ht="15.75" customHeight="1">
      <c r="A57" s="180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</row>
    <row r="58" ht="15.75" customHeight="1">
      <c r="A58" s="180"/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</row>
    <row r="59" ht="15.75" customHeight="1">
      <c r="A59" s="180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</row>
    <row r="60" ht="15.75" customHeight="1">
      <c r="A60" s="180"/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</row>
    <row r="61" ht="15.75" customHeight="1">
      <c r="A61" s="180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</row>
    <row r="62" ht="15.75" customHeight="1">
      <c r="A62" s="180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</row>
    <row r="63" ht="15.75" customHeight="1">
      <c r="A63" s="180"/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</row>
    <row r="64" ht="15.75" customHeight="1">
      <c r="A64" s="180"/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</row>
    <row r="65" ht="15.75" customHeight="1">
      <c r="A65" s="180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</row>
    <row r="66" ht="15.75" customHeight="1">
      <c r="A66" s="180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</row>
    <row r="67" ht="15.75" customHeight="1">
      <c r="A67" s="180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</row>
    <row r="68" ht="15.75" customHeight="1">
      <c r="A68" s="180"/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</row>
    <row r="69" ht="15.75" customHeight="1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</row>
    <row r="70" ht="15.75" customHeight="1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</row>
    <row r="71" ht="15.75" customHeight="1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</row>
    <row r="72" ht="15.75" customHeight="1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</row>
    <row r="73" ht="15.75" customHeight="1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</row>
    <row r="74" ht="15.75" customHeight="1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</row>
    <row r="75" ht="15.75" customHeight="1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</row>
    <row r="76" ht="15.75" customHeight="1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</row>
    <row r="77" ht="15.75" customHeight="1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</row>
    <row r="78" ht="15.75" customHeight="1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</row>
    <row r="79" ht="15.75" customHeight="1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</row>
    <row r="80" ht="15.75" customHeight="1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</row>
    <row r="81" ht="15.75" customHeight="1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</row>
    <row r="82" ht="15.75" customHeight="1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</row>
    <row r="83" ht="15.75" customHeight="1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</row>
    <row r="84" ht="15.75" customHeight="1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</row>
    <row r="85" ht="15.75" customHeight="1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</row>
    <row r="86" ht="15.75" customHeight="1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</row>
    <row r="87" ht="15.75" customHeight="1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</row>
    <row r="88" ht="15.75" customHeight="1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</row>
    <row r="89" ht="15.75" customHeight="1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</row>
    <row r="90" ht="15.75" customHeight="1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</row>
    <row r="91" ht="15.75" customHeight="1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</row>
    <row r="92" ht="15.75" customHeight="1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</row>
    <row r="93" ht="15.75" customHeight="1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</row>
    <row r="94" ht="15.75" customHeight="1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</row>
    <row r="95" ht="15.75" customHeight="1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</row>
    <row r="96" ht="15.75" customHeight="1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</row>
    <row r="97" ht="15.75" customHeight="1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</row>
    <row r="98" ht="15.75" customHeight="1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</row>
    <row r="99" ht="15.75" customHeight="1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</row>
    <row r="100" ht="15.75" customHeight="1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</row>
    <row r="101" ht="15.75" customHeight="1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</row>
    <row r="102" ht="15.75" customHeight="1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</row>
    <row r="103" ht="15.75" customHeight="1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</row>
    <row r="104" ht="15.75" customHeight="1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</row>
    <row r="105" ht="15.75" customHeight="1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</row>
    <row r="106" ht="15.75" customHeight="1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</row>
    <row r="107" ht="15.75" customHeight="1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</row>
    <row r="108" ht="15.75" customHeight="1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</row>
    <row r="109" ht="15.75" customHeight="1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</row>
    <row r="110" ht="15.75" customHeight="1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</row>
    <row r="111" ht="15.75" customHeight="1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</row>
    <row r="112" ht="15.75" customHeight="1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</row>
    <row r="113" ht="15.75" customHeight="1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</row>
    <row r="114" ht="15.75" customHeight="1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</row>
    <row r="115" ht="15.75" customHeight="1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</row>
    <row r="116" ht="15.75" customHeight="1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</row>
    <row r="117" ht="15.75" customHeight="1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</row>
    <row r="118" ht="15.75" customHeight="1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</row>
    <row r="119" ht="15.75" customHeight="1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</row>
    <row r="120" ht="15.75" customHeight="1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</row>
    <row r="121" ht="15.75" customHeight="1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</row>
    <row r="122" ht="15.75" customHeight="1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</row>
    <row r="123" ht="15.75" customHeight="1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</row>
    <row r="124" ht="15.75" customHeight="1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</row>
    <row r="125" ht="15.75" customHeight="1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</row>
    <row r="126" ht="15.75" customHeight="1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</row>
    <row r="127" ht="15.75" customHeight="1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</row>
    <row r="128" ht="15.75" customHeight="1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</row>
    <row r="129" ht="15.75" customHeight="1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</row>
    <row r="130" ht="15.75" customHeight="1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</row>
    <row r="131" ht="15.75" customHeight="1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</row>
    <row r="132" ht="15.75" customHeight="1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</row>
    <row r="133" ht="15.75" customHeight="1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</row>
    <row r="134" ht="15.75" customHeight="1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</row>
    <row r="135" ht="15.75" customHeight="1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</row>
    <row r="136" ht="15.75" customHeight="1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</row>
    <row r="137" ht="15.75" customHeight="1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</row>
    <row r="138" ht="15.75" customHeight="1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</row>
    <row r="139" ht="15.75" customHeight="1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</row>
    <row r="140" ht="15.75" customHeight="1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</row>
    <row r="141" ht="15.75" customHeight="1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</row>
    <row r="142" ht="15.75" customHeight="1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</row>
    <row r="143" ht="15.75" customHeight="1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</row>
    <row r="144" ht="15.75" customHeight="1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</row>
    <row r="145" ht="15.75" customHeight="1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</row>
    <row r="146" ht="15.75" customHeight="1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</row>
    <row r="147" ht="15.75" customHeight="1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</row>
    <row r="148" ht="15.75" customHeight="1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</row>
    <row r="149" ht="15.75" customHeight="1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</row>
    <row r="150" ht="15.75" customHeight="1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</row>
    <row r="151" ht="15.75" customHeight="1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</row>
    <row r="152" ht="15.75" customHeight="1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</row>
    <row r="153" ht="15.75" customHeight="1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</row>
    <row r="154" ht="15.75" customHeight="1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</row>
    <row r="155" ht="15.75" customHeight="1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</row>
    <row r="156" ht="15.75" customHeight="1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</row>
    <row r="157" ht="15.75" customHeight="1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</row>
    <row r="158" ht="15.75" customHeight="1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</row>
    <row r="159" ht="15.75" customHeight="1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</row>
    <row r="160" ht="15.75" customHeight="1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</row>
    <row r="161" ht="15.75" customHeight="1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</row>
    <row r="162" ht="15.75" customHeight="1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</row>
    <row r="163" ht="15.75" customHeight="1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</row>
    <row r="164" ht="15.75" customHeight="1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</row>
    <row r="165" ht="15.75" customHeight="1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</row>
    <row r="166" ht="15.75" customHeight="1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</row>
    <row r="167" ht="15.75" customHeight="1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</row>
    <row r="168" ht="15.75" customHeight="1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</row>
    <row r="169" ht="15.75" customHeight="1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</row>
    <row r="170" ht="15.75" customHeight="1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</row>
    <row r="171" ht="15.75" customHeight="1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</row>
    <row r="172" ht="15.75" customHeight="1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</row>
    <row r="173" ht="15.75" customHeight="1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</row>
    <row r="174" ht="15.75" customHeight="1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</row>
    <row r="175" ht="15.75" customHeight="1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</row>
    <row r="176" ht="15.75" customHeight="1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</row>
    <row r="177" ht="15.75" customHeight="1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</row>
    <row r="178" ht="15.75" customHeight="1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</row>
    <row r="179" ht="15.75" customHeight="1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</row>
    <row r="180" ht="15.75" customHeight="1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</row>
    <row r="181" ht="15.75" customHeight="1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</row>
    <row r="182" ht="15.75" customHeight="1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</row>
    <row r="183" ht="15.75" customHeight="1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</row>
    <row r="184" ht="15.75" customHeight="1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</row>
    <row r="185" ht="15.75" customHeight="1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</row>
    <row r="186" ht="15.75" customHeight="1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</row>
    <row r="187" ht="15.75" customHeight="1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</row>
    <row r="188" ht="15.75" customHeight="1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</row>
    <row r="189" ht="15.75" customHeight="1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</row>
    <row r="190" ht="15.75" customHeight="1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</row>
    <row r="191" ht="15.75" customHeight="1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</row>
    <row r="192" ht="15.75" customHeight="1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</row>
    <row r="193" ht="15.75" customHeight="1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</row>
    <row r="194" ht="15.75" customHeight="1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</row>
    <row r="195" ht="15.75" customHeight="1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</row>
    <row r="196" ht="15.75" customHeight="1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</row>
    <row r="197" ht="15.75" customHeight="1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</row>
    <row r="198" ht="15.75" customHeight="1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</row>
    <row r="199" ht="15.75" customHeight="1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</row>
    <row r="200" ht="15.75" customHeight="1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</row>
    <row r="201" ht="15.75" customHeight="1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</row>
    <row r="202" ht="15.75" customHeight="1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</row>
    <row r="203" ht="15.75" customHeight="1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</row>
    <row r="204" ht="15.75" customHeight="1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</row>
    <row r="205" ht="15.75" customHeight="1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</row>
    <row r="206" ht="15.75" customHeight="1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</row>
    <row r="207" ht="15.75" customHeight="1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</row>
    <row r="208" ht="15.75" customHeight="1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</row>
    <row r="209" ht="15.75" customHeight="1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</row>
    <row r="210" ht="15.75" customHeight="1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</row>
    <row r="211" ht="15.75" customHeight="1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</row>
    <row r="212" ht="15.75" customHeight="1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</row>
    <row r="213" ht="15.75" customHeight="1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</row>
    <row r="214" ht="15.75" customHeight="1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</row>
    <row r="215" ht="15.75" customHeight="1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</row>
    <row r="216" ht="15.75" customHeight="1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</row>
    <row r="217" ht="15.75" customHeight="1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</row>
    <row r="218" ht="15.75" customHeight="1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</row>
    <row r="219" ht="15.75" customHeight="1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</row>
    <row r="220" ht="15.75" customHeight="1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6:F17">
    <cfRule type="cellIs" dxfId="0" priority="1" operator="equal">
      <formula>"Cegonhas"</formula>
    </cfRule>
  </conditionalFormatting>
  <conditionalFormatting sqref="E16:F17">
    <cfRule type="cellIs" dxfId="1" priority="2" operator="equal">
      <formula>"Trolhas"</formula>
    </cfRule>
  </conditionalFormatting>
  <conditionalFormatting sqref="E16:F17">
    <cfRule type="cellIs" dxfId="2" priority="3" operator="equal">
      <formula>"CIFA"</formula>
    </cfRule>
  </conditionalFormatting>
  <conditionalFormatting sqref="A7:B9 E15:F15">
    <cfRule type="cellIs" dxfId="0" priority="4" operator="equal">
      <formula>"Cegonhas"</formula>
    </cfRule>
  </conditionalFormatting>
  <conditionalFormatting sqref="A7:B9 E15:F15">
    <cfRule type="cellIs" dxfId="1" priority="5" operator="equal">
      <formula>"Trolhas"</formula>
    </cfRule>
  </conditionalFormatting>
  <conditionalFormatting sqref="A7:B9 E15:F15">
    <cfRule type="cellIs" dxfId="2" priority="6" operator="equal">
      <formula>"CIFA"</formula>
    </cfRule>
  </conditionalFormatting>
  <printOptions/>
  <pageMargins bottom="0.75" footer="0.0" header="0.0" left="0.7" right="0.7" top="0.75"/>
  <pageSetup paperSize="9" orientation="portrait"/>
  <drawing r:id="rId1"/>
</worksheet>
</file>